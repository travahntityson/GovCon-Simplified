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8f35ac9ff4e64a5f/Documents/Fed Biz Exchange/Fedbizexchange Templates/Paid GovCon Resource Tools/"/>
    </mc:Choice>
  </mc:AlternateContent>
  <xr:revisionPtr revIDLastSave="114" documentId="13_ncr:1_{C0F6CD63-AC59-4C1E-9D93-B4E91F9DD1A0}" xr6:coauthVersionLast="47" xr6:coauthVersionMax="47" xr10:uidLastSave="{CB6741C2-7E81-4002-94BC-5A543332BDBC}"/>
  <bookViews>
    <workbookView xWindow="-120" yWindow="-120" windowWidth="20730" windowHeight="11760" activeTab="5" xr2:uid="{AA2EEFE6-6D20-4C18-8325-17D77AE496E4}"/>
  </bookViews>
  <sheets>
    <sheet name="Example" sheetId="1" r:id="rId1"/>
    <sheet name="Product Base Year Pricing" sheetId="10" r:id="rId2"/>
    <sheet name="Option 1" sheetId="6" r:id="rId3"/>
    <sheet name="Option 2" sheetId="7" r:id="rId4"/>
    <sheet name="Option 3" sheetId="8" r:id="rId5"/>
    <sheet name="Option 4"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8" i="6" l="1"/>
  <c r="J67" i="6"/>
  <c r="J66" i="6"/>
  <c r="J65" i="6"/>
  <c r="J64" i="6"/>
  <c r="J63" i="6"/>
  <c r="J68" i="6" s="1"/>
  <c r="I58" i="6"/>
  <c r="J53" i="6"/>
  <c r="J58" i="6" s="1"/>
  <c r="I48" i="6"/>
  <c r="G47" i="6"/>
  <c r="J47" i="6" s="1"/>
  <c r="J46" i="6"/>
  <c r="G46" i="6"/>
  <c r="J45" i="6"/>
  <c r="G45" i="6"/>
  <c r="J44" i="6"/>
  <c r="G44" i="6"/>
  <c r="J43" i="6"/>
  <c r="G43" i="6"/>
  <c r="G48" i="6" s="1"/>
  <c r="I36" i="6"/>
  <c r="G36" i="6"/>
  <c r="J36" i="6" s="1"/>
  <c r="I35" i="6"/>
  <c r="G35" i="6"/>
  <c r="J35" i="6" s="1"/>
  <c r="I34" i="6"/>
  <c r="G34" i="6"/>
  <c r="J34" i="6" s="1"/>
  <c r="I33" i="6"/>
  <c r="G33" i="6"/>
  <c r="J33" i="6" s="1"/>
  <c r="I32" i="6"/>
  <c r="I37" i="6" s="1"/>
  <c r="G32" i="6"/>
  <c r="J32" i="6" s="1"/>
  <c r="J37" i="6" s="1"/>
  <c r="I26" i="6"/>
  <c r="J26" i="6" s="1"/>
  <c r="I25" i="6"/>
  <c r="J25" i="6" s="1"/>
  <c r="I24" i="6"/>
  <c r="G24" i="6"/>
  <c r="J24" i="6" s="1"/>
  <c r="I23" i="6"/>
  <c r="G23" i="6"/>
  <c r="J23" i="6" s="1"/>
  <c r="I22" i="6"/>
  <c r="G22" i="6"/>
  <c r="J22" i="6" s="1"/>
  <c r="I21" i="6"/>
  <c r="G21" i="6"/>
  <c r="J21" i="6" s="1"/>
  <c r="I20" i="6"/>
  <c r="G20" i="6"/>
  <c r="J20" i="6" s="1"/>
  <c r="I19" i="6"/>
  <c r="G19" i="6"/>
  <c r="J19" i="6" s="1"/>
  <c r="I18" i="6"/>
  <c r="G18" i="6"/>
  <c r="J18" i="6" s="1"/>
  <c r="I17" i="6"/>
  <c r="G17" i="6"/>
  <c r="J17" i="6" s="1"/>
  <c r="I16" i="6"/>
  <c r="I27" i="6" s="1"/>
  <c r="B9" i="6" s="1"/>
  <c r="G16" i="6"/>
  <c r="J16" i="6" s="1"/>
  <c r="J27" i="6" s="1"/>
  <c r="I68" i="7"/>
  <c r="J67" i="7"/>
  <c r="J66" i="7"/>
  <c r="J65" i="7"/>
  <c r="J64" i="7"/>
  <c r="J63" i="7"/>
  <c r="J68" i="7" s="1"/>
  <c r="I58" i="7"/>
  <c r="J53" i="7"/>
  <c r="J58" i="7" s="1"/>
  <c r="I48" i="7"/>
  <c r="J47" i="7"/>
  <c r="G47" i="7"/>
  <c r="J46" i="7"/>
  <c r="G46" i="7"/>
  <c r="J45" i="7"/>
  <c r="G45" i="7"/>
  <c r="J44" i="7"/>
  <c r="G44" i="7"/>
  <c r="J43" i="7"/>
  <c r="J48" i="7" s="1"/>
  <c r="G43" i="7"/>
  <c r="G48" i="7" s="1"/>
  <c r="I36" i="7"/>
  <c r="G36" i="7"/>
  <c r="J36" i="7" s="1"/>
  <c r="I35" i="7"/>
  <c r="G35" i="7"/>
  <c r="J35" i="7" s="1"/>
  <c r="I34" i="7"/>
  <c r="G34" i="7"/>
  <c r="J34" i="7" s="1"/>
  <c r="I33" i="7"/>
  <c r="G33" i="7"/>
  <c r="G37" i="7" s="1"/>
  <c r="I32" i="7"/>
  <c r="I37" i="7" s="1"/>
  <c r="G32" i="7"/>
  <c r="J32" i="7" s="1"/>
  <c r="J26" i="7"/>
  <c r="I26" i="7"/>
  <c r="J25" i="7"/>
  <c r="I25" i="7"/>
  <c r="I24" i="7"/>
  <c r="G24" i="7"/>
  <c r="J24" i="7" s="1"/>
  <c r="I23" i="7"/>
  <c r="G23" i="7"/>
  <c r="J23" i="7" s="1"/>
  <c r="I22" i="7"/>
  <c r="G22" i="7"/>
  <c r="J22" i="7" s="1"/>
  <c r="I21" i="7"/>
  <c r="G21" i="7"/>
  <c r="J21" i="7" s="1"/>
  <c r="I20" i="7"/>
  <c r="G20" i="7"/>
  <c r="J20" i="7" s="1"/>
  <c r="I19" i="7"/>
  <c r="G19" i="7"/>
  <c r="J19" i="7" s="1"/>
  <c r="I18" i="7"/>
  <c r="G18" i="7"/>
  <c r="J18" i="7" s="1"/>
  <c r="I17" i="7"/>
  <c r="G17" i="7"/>
  <c r="J17" i="7" s="1"/>
  <c r="I16" i="7"/>
  <c r="I27" i="7" s="1"/>
  <c r="B9" i="7" s="1"/>
  <c r="G16" i="7"/>
  <c r="J16" i="7" s="1"/>
  <c r="J27" i="7" s="1"/>
  <c r="I68" i="8"/>
  <c r="J67" i="8"/>
  <c r="J66" i="8"/>
  <c r="J65" i="8"/>
  <c r="J64" i="8"/>
  <c r="J63" i="8"/>
  <c r="J68" i="8" s="1"/>
  <c r="I58" i="8"/>
  <c r="J53" i="8"/>
  <c r="J58" i="8" s="1"/>
  <c r="I48" i="8"/>
  <c r="G47" i="8"/>
  <c r="J47" i="8" s="1"/>
  <c r="J46" i="8"/>
  <c r="G46" i="8"/>
  <c r="J45" i="8"/>
  <c r="G45" i="8"/>
  <c r="J44" i="8"/>
  <c r="G44" i="8"/>
  <c r="J43" i="8"/>
  <c r="J48" i="8" s="1"/>
  <c r="G43" i="8"/>
  <c r="G48" i="8" s="1"/>
  <c r="I36" i="8"/>
  <c r="G36" i="8"/>
  <c r="J36" i="8" s="1"/>
  <c r="I35" i="8"/>
  <c r="G35" i="8"/>
  <c r="J35" i="8" s="1"/>
  <c r="I34" i="8"/>
  <c r="G34" i="8"/>
  <c r="J34" i="8" s="1"/>
  <c r="I33" i="8"/>
  <c r="G33" i="8"/>
  <c r="J33" i="8" s="1"/>
  <c r="I32" i="8"/>
  <c r="I37" i="8" s="1"/>
  <c r="G32" i="8"/>
  <c r="J32" i="8" s="1"/>
  <c r="J37" i="8" s="1"/>
  <c r="I26" i="8"/>
  <c r="J26" i="8" s="1"/>
  <c r="I25" i="8"/>
  <c r="J25" i="8" s="1"/>
  <c r="I24" i="8"/>
  <c r="G24" i="8"/>
  <c r="J24" i="8" s="1"/>
  <c r="I23" i="8"/>
  <c r="G23" i="8"/>
  <c r="J23" i="8" s="1"/>
  <c r="I22" i="8"/>
  <c r="G22" i="8"/>
  <c r="J22" i="8" s="1"/>
  <c r="I21" i="8"/>
  <c r="G21" i="8"/>
  <c r="J21" i="8" s="1"/>
  <c r="I20" i="8"/>
  <c r="G20" i="8"/>
  <c r="J20" i="8" s="1"/>
  <c r="I19" i="8"/>
  <c r="G19" i="8"/>
  <c r="J19" i="8" s="1"/>
  <c r="I18" i="8"/>
  <c r="G18" i="8"/>
  <c r="J18" i="8" s="1"/>
  <c r="I17" i="8"/>
  <c r="G17" i="8"/>
  <c r="J17" i="8" s="1"/>
  <c r="I16" i="8"/>
  <c r="I27" i="8" s="1"/>
  <c r="B9" i="8" s="1"/>
  <c r="G16" i="8"/>
  <c r="J16" i="8" s="1"/>
  <c r="I68" i="10"/>
  <c r="J67" i="10"/>
  <c r="J66" i="10"/>
  <c r="J65" i="10"/>
  <c r="J64" i="10"/>
  <c r="J63" i="10"/>
  <c r="J68" i="10" s="1"/>
  <c r="I58" i="10"/>
  <c r="J53" i="10"/>
  <c r="J58" i="10" s="1"/>
  <c r="I48" i="10"/>
  <c r="J47" i="10"/>
  <c r="G47" i="10"/>
  <c r="J46" i="10"/>
  <c r="G46" i="10"/>
  <c r="G45" i="10"/>
  <c r="J45" i="10" s="1"/>
  <c r="J44" i="10"/>
  <c r="G44" i="10"/>
  <c r="J43" i="10"/>
  <c r="G43" i="10"/>
  <c r="G48" i="10" s="1"/>
  <c r="I36" i="10"/>
  <c r="G36" i="10"/>
  <c r="J36" i="10" s="1"/>
  <c r="I35" i="10"/>
  <c r="G35" i="10"/>
  <c r="J35" i="10" s="1"/>
  <c r="I34" i="10"/>
  <c r="G34" i="10"/>
  <c r="J34" i="10" s="1"/>
  <c r="I33" i="10"/>
  <c r="G33" i="10"/>
  <c r="G37" i="10" s="1"/>
  <c r="I32" i="10"/>
  <c r="I37" i="10" s="1"/>
  <c r="G32" i="10"/>
  <c r="J32" i="10" s="1"/>
  <c r="J26" i="10"/>
  <c r="I26" i="10"/>
  <c r="J25" i="10"/>
  <c r="I25" i="10"/>
  <c r="I24" i="10"/>
  <c r="G24" i="10"/>
  <c r="J24" i="10" s="1"/>
  <c r="I23" i="10"/>
  <c r="G23" i="10"/>
  <c r="J23" i="10" s="1"/>
  <c r="I22" i="10"/>
  <c r="G22" i="10"/>
  <c r="J22" i="10" s="1"/>
  <c r="I21" i="10"/>
  <c r="G21" i="10"/>
  <c r="J21" i="10" s="1"/>
  <c r="I20" i="10"/>
  <c r="G20" i="10"/>
  <c r="J20" i="10" s="1"/>
  <c r="I19" i="10"/>
  <c r="G19" i="10"/>
  <c r="J19" i="10" s="1"/>
  <c r="I18" i="10"/>
  <c r="G18" i="10"/>
  <c r="J18" i="10" s="1"/>
  <c r="I17" i="10"/>
  <c r="G17" i="10"/>
  <c r="J17" i="10" s="1"/>
  <c r="I16" i="10"/>
  <c r="I27" i="10" s="1"/>
  <c r="B9" i="10" s="1"/>
  <c r="G16" i="10"/>
  <c r="J16" i="10" s="1"/>
  <c r="J27" i="10" s="1"/>
  <c r="I68" i="9"/>
  <c r="J67" i="9"/>
  <c r="J66" i="9"/>
  <c r="J65" i="9"/>
  <c r="J64" i="9"/>
  <c r="J63" i="9"/>
  <c r="J68" i="9" s="1"/>
  <c r="I58" i="9"/>
  <c r="J53" i="9"/>
  <c r="J58" i="9" s="1"/>
  <c r="I48" i="9"/>
  <c r="J47" i="9"/>
  <c r="G47" i="9"/>
  <c r="J46" i="9"/>
  <c r="G46" i="9"/>
  <c r="J45" i="9"/>
  <c r="G45" i="9"/>
  <c r="J44" i="9"/>
  <c r="G44" i="9"/>
  <c r="J43" i="9"/>
  <c r="J48" i="9" s="1"/>
  <c r="G43" i="9"/>
  <c r="G48" i="9" s="1"/>
  <c r="I36" i="9"/>
  <c r="G36" i="9"/>
  <c r="J36" i="9" s="1"/>
  <c r="I35" i="9"/>
  <c r="G35" i="9"/>
  <c r="J35" i="9" s="1"/>
  <c r="I34" i="9"/>
  <c r="G34" i="9"/>
  <c r="J34" i="9" s="1"/>
  <c r="I33" i="9"/>
  <c r="G33" i="9"/>
  <c r="G37" i="9" s="1"/>
  <c r="I32" i="9"/>
  <c r="I37" i="9" s="1"/>
  <c r="G32" i="9"/>
  <c r="J32" i="9" s="1"/>
  <c r="J26" i="9"/>
  <c r="I26" i="9"/>
  <c r="J25" i="9"/>
  <c r="I25" i="9"/>
  <c r="I24" i="9"/>
  <c r="G24" i="9"/>
  <c r="J24" i="9" s="1"/>
  <c r="I23" i="9"/>
  <c r="G23" i="9"/>
  <c r="J23" i="9" s="1"/>
  <c r="I22" i="9"/>
  <c r="G22" i="9"/>
  <c r="J22" i="9" s="1"/>
  <c r="I21" i="9"/>
  <c r="G21" i="9"/>
  <c r="J21" i="9" s="1"/>
  <c r="I20" i="9"/>
  <c r="G20" i="9"/>
  <c r="J20" i="9" s="1"/>
  <c r="I19" i="9"/>
  <c r="G19" i="9"/>
  <c r="J19" i="9" s="1"/>
  <c r="I18" i="9"/>
  <c r="G18" i="9"/>
  <c r="J18" i="9" s="1"/>
  <c r="I17" i="9"/>
  <c r="G17" i="9"/>
  <c r="J17" i="9" s="1"/>
  <c r="I16" i="9"/>
  <c r="I27" i="9" s="1"/>
  <c r="B9" i="9" s="1"/>
  <c r="G16" i="9"/>
  <c r="J16" i="9" s="1"/>
  <c r="J27" i="9" s="1"/>
  <c r="J54" i="1"/>
  <c r="J55" i="1"/>
  <c r="J56" i="1"/>
  <c r="J57" i="1"/>
  <c r="I26" i="1"/>
  <c r="J26" i="1" s="1"/>
  <c r="I25" i="1"/>
  <c r="J25" i="1" s="1"/>
  <c r="J64" i="1"/>
  <c r="J65" i="1"/>
  <c r="J66" i="1"/>
  <c r="J67" i="1"/>
  <c r="J63" i="1"/>
  <c r="I68" i="1"/>
  <c r="I58" i="1"/>
  <c r="J53" i="1"/>
  <c r="I48" i="1"/>
  <c r="I33" i="1"/>
  <c r="I34" i="1"/>
  <c r="I35" i="1"/>
  <c r="I36" i="1"/>
  <c r="I32" i="1"/>
  <c r="G33" i="1"/>
  <c r="G34" i="1"/>
  <c r="G35" i="1"/>
  <c r="G36" i="1"/>
  <c r="G32" i="1"/>
  <c r="I17" i="1"/>
  <c r="I18" i="1"/>
  <c r="I19" i="1"/>
  <c r="I20" i="1"/>
  <c r="I21" i="1"/>
  <c r="I22" i="1"/>
  <c r="I23" i="1"/>
  <c r="I24" i="1"/>
  <c r="G17" i="1"/>
  <c r="J17" i="1" s="1"/>
  <c r="G18" i="1"/>
  <c r="J18" i="1" s="1"/>
  <c r="G19" i="1"/>
  <c r="J19" i="1" s="1"/>
  <c r="G20" i="1"/>
  <c r="J20" i="1" s="1"/>
  <c r="G21" i="1"/>
  <c r="J21" i="1" s="1"/>
  <c r="G22" i="1"/>
  <c r="J22" i="1" s="1"/>
  <c r="G23" i="1"/>
  <c r="J23" i="1" s="1"/>
  <c r="G24" i="1"/>
  <c r="J24" i="1" s="1"/>
  <c r="I16" i="1"/>
  <c r="G16" i="1"/>
  <c r="J16" i="1" s="1"/>
  <c r="J48" i="10" l="1"/>
  <c r="J48" i="6"/>
  <c r="B8" i="6" s="1"/>
  <c r="G37" i="6"/>
  <c r="J37" i="7"/>
  <c r="B8" i="7" s="1"/>
  <c r="J33" i="7"/>
  <c r="J27" i="8"/>
  <c r="B8" i="8" s="1"/>
  <c r="G37" i="8"/>
  <c r="J37" i="10"/>
  <c r="J33" i="10"/>
  <c r="J37" i="9"/>
  <c r="B8" i="9" s="1"/>
  <c r="J33" i="9"/>
  <c r="J27" i="1"/>
  <c r="J36" i="1"/>
  <c r="J34" i="1"/>
  <c r="I37" i="1"/>
  <c r="J68" i="1"/>
  <c r="J32" i="1"/>
  <c r="G37" i="1"/>
  <c r="J35" i="1"/>
  <c r="J33" i="1"/>
  <c r="I27" i="1"/>
  <c r="J58" i="1"/>
  <c r="J44" i="1"/>
  <c r="G45" i="1"/>
  <c r="J45" i="1" s="1"/>
  <c r="G46" i="1"/>
  <c r="J46" i="1" s="1"/>
  <c r="G47" i="1"/>
  <c r="J47" i="1" s="1"/>
  <c r="G43" i="1"/>
  <c r="J43" i="1" s="1"/>
  <c r="B8" i="10" l="1"/>
  <c r="J37" i="1"/>
  <c r="B9" i="1"/>
  <c r="J48" i="1"/>
  <c r="B8" i="1" s="1"/>
  <c r="G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tc={579B02AA-0771-4667-9C88-564224F3A8E9}</author>
    <author>tc={B9D22477-BFDE-4112-92AA-44A6D4E293E1}</author>
    <author>tc={B50BCE51-FECA-4EE2-AC1D-F96E0D5E4B0D}</author>
    <author>tc={B6BDAAD6-020D-4068-8DB1-81943C09DB6E}</author>
    <author>tc={6E7ABA04-5ACB-4EDE-85B9-FF6CA77B14C2}</author>
    <author>tc={33F8BBD2-8B31-45D1-9E68-68EF0DA09929}</author>
    <author>tc={46000A28-7151-4A1E-AC17-18E0AB3A5655}</author>
    <author>tc={9F58F4EA-7E8E-46DD-A600-579CEA7237E5}</author>
    <author>tc={BE352C28-9BF6-4536-A1D3-D056C6497BCC}</author>
    <author>tc={C1E36DA2-9594-4447-9D41-DAAA728837E9}</author>
    <author>tc={62962DAC-6D08-47BA-B90B-EEC3299EC9A6}</author>
    <author>tc={3F94BF9D-1716-42F0-B311-C750A55F0E29}</author>
    <author>tc={49033BEE-03BC-44E0-822F-7D998BBCB244}</author>
    <author>tc={67CA83C8-1D6C-45C7-B80B-6C8F22919268}</author>
    <author>tc={90DFA156-5F1C-4D3C-95F8-445A44521927}</author>
    <author>tc={BA414CB7-B5B7-415B-B972-A1E1E24F325F}</author>
    <author>tc={8CFFF49B-4A77-489E-BAC2-6F62B993699C}</author>
    <author>tc={0FBBEBA8-B8E4-43DB-82CA-849330351FF6}</author>
    <author>tc={D8B0985A-724A-456F-890D-FB51B75D8281}</author>
    <author>tc={EB0A7CB1-F19B-45E3-AFF4-A968249F3B69}</author>
    <author>tc={190CFED0-64E5-48B5-BC4D-FF4C92563148}</author>
    <author>tc={145D91E4-5230-4039-8469-5FE6BD319BBA}</author>
    <author>tc={5519DD13-DAB2-449B-AE94-5EAA50D2A6B7}</author>
    <author>tc={04954536-C09F-4082-ADFD-18A16A2DFD8B}</author>
    <author>tc={D9F7F1AF-48A7-4AE9-B81B-D2F533567932}</author>
    <author>tc={ADC3CDF1-B92B-4D60-AA2D-763562AB7066}</author>
    <author>tc={0405EE93-6F83-4FF5-9750-85B285E50D2A}</author>
    <author>tc={FED1E162-9F0E-4221-976F-96FB42379165}</author>
  </authors>
  <commentList>
    <comment ref="B8" authorId="0" shapeId="0" xr:uid="{579B02AA-0771-4667-9C88-564224F3A8E9}">
      <text>
        <t>[Threaded comment]
Your version of Excel allows you to read this threaded comment; however, any edits to it will get removed if the file is opened in a newer version of Excel. Learn more: https://go.microsoft.com/fwlink/?linkid=870924
Comment:
    WARNING: Do not touch -These two rows calculated automatically.</t>
      </text>
    </comment>
    <comment ref="B9" authorId="1" shapeId="0" xr:uid="{B9D22477-BFDE-4112-92AA-44A6D4E293E1}">
      <text>
        <t>[Threaded comment]
Your version of Excel allows you to read this threaded comment; however, any edits to it will get removed if the file is opened in a newer version of Excel. Learn more: https://go.microsoft.com/fwlink/?linkid=870924
Comment:
    WARNING: Do not touch - these two areas calculate automatically.</t>
      </text>
    </comment>
    <comment ref="E15" authorId="2" shapeId="0" xr:uid="{B50BCE51-FECA-4EE2-AC1D-F96E0D5E4B0D}">
      <text>
        <t>[Threaded comment]
Your version of Excel allows you to read this threaded comment; however, any edits to it will get removed if the file is opened in a newer version of Excel. Learn more: https://go.microsoft.com/fwlink/?linkid=870924
Comment:
    Input price you recieved from manufacturer, distributor or supplier. IMPORTANT: Example $11.50 per box of gloves if it includes shipping you will not add shipping cost under transportation.</t>
      </text>
    </comment>
    <comment ref="F15" authorId="3" shapeId="0" xr:uid="{B6BDAAD6-020D-4068-8DB1-81943C09DB6E}">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Example 6,636 boxes.  If it's priced by pieces, put the number of pieces.  Do this for each product in the same contract.</t>
      </text>
    </comment>
    <comment ref="G15" authorId="4" shapeId="0" xr:uid="{6E7ABA04-5ACB-4EDE-85B9-FF6CA77B14C2}">
      <text>
        <t>[Threaded comment]
Your version of Excel allows you to read this threaded comment; however, any edits to it will get removed if the file is opened in a newer version of Excel. Learn more: https://go.microsoft.com/fwlink/?linkid=870924
Comment:
    DONOT TOUCH Calculates automatically</t>
      </text>
    </comment>
    <comment ref="H15" authorId="5" shapeId="0" xr:uid="{33F8BBD2-8B31-45D1-9E68-68EF0DA09929}">
      <text>
        <t>[Threaded comment]
Your version of Excel allows you to read this threaded comment; however, any edits to it will get removed if the file is opened in a newer version of Excel. Learn more: https://go.microsoft.com/fwlink/?linkid=870924
Comment:
    Add your markup here. IMPORTANT EX. The supplier or manufactuer charged me (contractor) $11.50 per box; I added for my profit $4.45 per box. $4.45 x 6,536.</t>
      </text>
    </comment>
    <comment ref="I15" authorId="6" shapeId="0" xr:uid="{46000A28-7151-4A1E-AC17-18E0AB3A5655}">
      <text>
        <t>[Threaded comment]
Your version of Excel allows you to read this threaded comment; however, any edits to it will get removed if the file is opened in a newer version of Excel. Learn more: https://go.microsoft.com/fwlink/?linkid=870924
Comment:
    DONOT TOUCH Calculated automatically this is your profit</t>
      </text>
    </comment>
    <comment ref="F16" authorId="7" shapeId="0" xr:uid="{9F58F4EA-7E8E-46DD-A600-579CEA7237E5}">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based on the contract. Ex. 6,636 boxes of gloves.</t>
      </text>
    </comment>
    <comment ref="I27" authorId="8" shapeId="0" xr:uid="{BE352C28-9BF6-4536-A1D3-D056C6497BCC}">
      <text>
        <t>[Threaded comment]
Your version of Excel allows you to read this threaded comment; however, any edits to it will get removed if the file is opened in a newer version of Excel. Learn more: https://go.microsoft.com/fwlink/?linkid=870924
Comment:
    Profit</t>
      </text>
    </comment>
    <comment ref="J27" authorId="9" shapeId="0" xr:uid="{C1E36DA2-9594-4447-9D41-DAAA728837E9}">
      <text>
        <t>[Threaded comment]
Your version of Excel allows you to read this threaded comment; however, any edits to it will get removed if the file is opened in a newer version of Excel. Learn more: https://go.microsoft.com/fwlink/?linkid=870924
Comment:
    Contract costs to the government</t>
      </text>
    </comment>
    <comment ref="E31" authorId="10" shapeId="0" xr:uid="{62962DAC-6D08-47BA-B90B-EEC3299EC9A6}">
      <text>
        <t>[Threaded comment]
Your version of Excel allows you to read this threaded comment; however, any edits to it will get removed if the file is opened in a newer version of Excel. Learn more: https://go.microsoft.com/fwlink/?linkid=870924
Comment:
    Input the rate per hour for your employee or administrator.  You can also NOT charge for an Administor employee to be competitive.</t>
      </text>
    </comment>
    <comment ref="F31" authorId="11" shapeId="0" xr:uid="{3F94BF9D-1716-42F0-B311-C750A55F0E29}">
      <text>
        <t>[Threaded comment]
Your version of Excel allows you to read this threaded comment; however, any edits to it will get removed if the file is opened in a newer version of Excel. Learn more: https://go.microsoft.com/fwlink/?linkid=870924
Comment:
    # of Hours you estimate the employee will work on this contract.</t>
      </text>
    </comment>
    <comment ref="G31" authorId="12" shapeId="0" xr:uid="{49033BEE-03BC-44E0-822F-7D998BBCB244}">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31" authorId="13" shapeId="0" xr:uid="{67CA83C8-1D6C-45C7-B80B-6C8F22919268}">
      <text>
        <t>[Threaded comment]
Your version of Excel allows you to read this threaded comment; however, any edits to it will get removed if the file is opened in a newer version of Excel. Learn more: https://go.microsoft.com/fwlink/?linkid=870924
Comment:
    Add your markup to the employee's rate here or leave it blank at $0.00 for no markup.  If you markup the employee's rate it will calculate in the total employee (administrator's) cost.  It will also show in your profit.</t>
      </text>
    </comment>
    <comment ref="I31" authorId="14" shapeId="0" xr:uid="{90DFA156-5F1C-4D3C-95F8-445A44521927}">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31" authorId="15" shapeId="0" xr:uid="{BA414CB7-B5B7-415B-B972-A1E1E24F325F}">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E42" authorId="16" shapeId="0" xr:uid="{8CFFF49B-4A77-489E-BAC2-6F62B993699C}">
      <text>
        <t>[Threaded comment]
Your version of Excel allows you to read this threaded comment; however, any edits to it will get removed if the file is opened in a newer version of Excel. Learn more: https://go.microsoft.com/fwlink/?linkid=870924
Comment:
    IMPORTANT: Only input hours here if the subcontractor charges you by the hour.  If they give you one price but no hourly,  INPUT "0" OR LEAVE THIS COLUMN BLANK and use the rate column only.</t>
      </text>
    </comment>
    <comment ref="F42" authorId="17" shapeId="0" xr:uid="{0FBBEBA8-B8E4-43DB-82CA-849330351FF6}">
      <text>
        <t>[Threaded comment]
Your version of Excel allows you to read this threaded comment; however, any edits to it will get removed if the file is opened in a newer version of Excel. Learn more: https://go.microsoft.com/fwlink/?linkid=870924
Comment:
    IMPORTANT: Input the rate ONLY if you have the number of hours for the job. EXAMPLE 10 hours @ $40.00. IF you only have the total cost, just put in the TOTAL PRICE| COST.  DO NOT include the number of hours if you have just the total price.</t>
      </text>
    </comment>
    <comment ref="G42" authorId="18" shapeId="0" xr:uid="{D8B0985A-724A-456F-890D-FB51B75D8281}">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42" authorId="19" shapeId="0" xr:uid="{EB0A7CB1-F19B-45E3-AFF4-A968249F3B69}">
      <text>
        <t>[Threaded comment]
Your version of Excel allows you to read this threaded comment; however, any edits to it will get removed if the file is opened in a newer version of Excel. Learn more: https://go.microsoft.com/fwlink/?linkid=870924
Comment:
    Input any additional subcontractor costs or leave at "$0.00.</t>
      </text>
    </comment>
    <comment ref="I42" authorId="20" shapeId="0" xr:uid="{190CFED0-64E5-48B5-BC4D-FF4C92563148}">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42" authorId="21" shapeId="0" xr:uid="{145D91E4-5230-4039-8469-5FE6BD319BBA}">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A51" authorId="22" shapeId="0" xr:uid="{5519DD13-DAB2-449B-AE94-5EAA50D2A6B7}">
      <text>
        <t>[Threaded comment]
Your version of Excel allows you to read this threaded comment; however, any edits to it will get removed if the file is opened in a newer version of Excel. Learn more: https://go.microsoft.com/fwlink/?linkid=870924
Comment:
    All support services go here</t>
      </text>
    </comment>
    <comment ref="H52" authorId="23" shapeId="0" xr:uid="{04954536-C09F-4082-ADFD-18A16A2DFD8B}">
      <text>
        <t>[Threaded comment]
Your version of Excel allows you to read this threaded comment; however, any edits to it will get removed if the file is opened in a newer version of Excel. Learn more: https://go.microsoft.com/fwlink/?linkid=870924
Comment:
    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
      </text>
    </comment>
    <comment ref="I52" authorId="24" shapeId="0" xr:uid="{D9F7F1AF-48A7-4AE9-B81B-D2F533567932}">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52" authorId="25" shapeId="0" xr:uid="{ADC3CDF1-B92B-4D60-AA2D-763562AB7066}">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I62" authorId="26" shapeId="0" xr:uid="{0405EE93-6F83-4FF5-9750-85B285E50D2A}">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62" authorId="27" shapeId="0" xr:uid="{FED1E162-9F0E-4221-976F-96FB42379165}">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tc={8F5FC73C-32CC-4264-8CDE-025FAD7CE2FC}</author>
    <author>tc={E176CC4D-6252-44BD-9EB0-F538B20D8C5C}</author>
    <author>tc={6405C481-5C54-4C4C-BD46-7A06317BAF0F}</author>
    <author>tc={7FF2AD3F-364B-4CFE-A5CB-03D6AFC642F2}</author>
    <author>tc={6477E119-439F-4F85-AF40-5A376D2C76FC}</author>
    <author>tc={809D87B1-FD9E-4732-AC02-2CB14C7B3B7D}</author>
    <author>tc={A614F098-885C-4064-BDC6-9B5F773C0335}</author>
    <author>tc={E4D9F296-96A0-418E-9963-C40C1967DAD4}</author>
    <author>tc={2B55A79F-1096-4DE9-8F72-010071ACB7E9}</author>
    <author>tc={2B7D6043-B5B9-4D02-AA8F-C2E22A277FAC}</author>
    <author>tc={B9ADB694-04D5-42A4-BB08-CF7617C1E1B0}</author>
    <author>tc={002DE919-7498-4032-B5FD-EBCBE57B67A3}</author>
    <author>tc={44A8871B-50BD-43D6-A6A2-7DD4F2D09336}</author>
    <author>tc={AB2F62F9-1166-4C69-8074-D13EDC8C5D30}</author>
    <author>tc={09479D8C-DAF9-45D5-A725-809E42F7970E}</author>
    <author>tc={B54A9360-2181-4DB2-8B68-1635322A54BB}</author>
    <author>tc={E6F8334D-D94C-4CBE-84E4-308C5D84EA75}</author>
    <author>tc={9CC7123F-21FC-4098-94E2-D1D4A68E7D5B}</author>
    <author>tc={88F74F2D-FFAA-419A-A5DF-3CB4FFDC6557}</author>
    <author>tc={3D7D826F-B623-459D-AF6A-FE8D03AAD4FD}</author>
    <author>tc={4E32EF21-FB0E-4BC2-B653-2A0B0BD99502}</author>
    <author>tc={D620E5A3-61FA-4A6A-B515-69DFA17F220E}</author>
    <author>tc={FF0ACF3F-E8D8-4D4B-83C9-4049BDDC1B8C}</author>
    <author>tc={23016424-28F9-4BB1-A1C3-6ADCA511C328}</author>
    <author>tc={EEFD3371-E379-47E0-9CC5-224F1BCEF444}</author>
    <author>tc={82306C5B-504D-4BA4-B38F-3717E4E73EF4}</author>
    <author>tc={FE3FB5AB-FB9B-411F-BAAD-9F25F4540274}</author>
    <author>tc={6A6222C1-CE0B-47B7-B2B1-3A9FAB5A297A}</author>
  </authors>
  <commentList>
    <comment ref="B8" authorId="0" shapeId="0" xr:uid="{8F5FC73C-32CC-4264-8CDE-025FAD7CE2FC}">
      <text>
        <t>[Threaded comment]
Your version of Excel allows you to read this threaded comment; however, any edits to it will get removed if the file is opened in a newer version of Excel. Learn more: https://go.microsoft.com/fwlink/?linkid=870924
Comment:
    WARNING: Do not touch -These two rows calculated automatically.</t>
      </text>
    </comment>
    <comment ref="B9" authorId="1" shapeId="0" xr:uid="{E176CC4D-6252-44BD-9EB0-F538B20D8C5C}">
      <text>
        <t>[Threaded comment]
Your version of Excel allows you to read this threaded comment; however, any edits to it will get removed if the file is opened in a newer version of Excel. Learn more: https://go.microsoft.com/fwlink/?linkid=870924
Comment:
    WARNING: Do not touch - these two areas calculate automatically.</t>
      </text>
    </comment>
    <comment ref="E15" authorId="2" shapeId="0" xr:uid="{6405C481-5C54-4C4C-BD46-7A06317BAF0F}">
      <text>
        <t>[Threaded comment]
Your version of Excel allows you to read this threaded comment; however, any edits to it will get removed if the file is opened in a newer version of Excel. Learn more: https://go.microsoft.com/fwlink/?linkid=870924
Comment:
    Input price you recieved from manufacturer, distributor or supplier. IMPORTANT: Example $11.50 per box of gloves if it includes shipping you will not add shipping cost under transportation.</t>
      </text>
    </comment>
    <comment ref="F15" authorId="3" shapeId="0" xr:uid="{7FF2AD3F-364B-4CFE-A5CB-03D6AFC642F2}">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Example 6,636 boxes.  If it's priced by pieces, put the number of pieces.  Do this for each product in the same contract.</t>
      </text>
    </comment>
    <comment ref="G15" authorId="4" shapeId="0" xr:uid="{6477E119-439F-4F85-AF40-5A376D2C76FC}">
      <text>
        <t>[Threaded comment]
Your version of Excel allows you to read this threaded comment; however, any edits to it will get removed if the file is opened in a newer version of Excel. Learn more: https://go.microsoft.com/fwlink/?linkid=870924
Comment:
    DONOT TOUCH Calculates automatically</t>
      </text>
    </comment>
    <comment ref="H15" authorId="5" shapeId="0" xr:uid="{809D87B1-FD9E-4732-AC02-2CB14C7B3B7D}">
      <text>
        <t>[Threaded comment]
Your version of Excel allows you to read this threaded comment; however, any edits to it will get removed if the file is opened in a newer version of Excel. Learn more: https://go.microsoft.com/fwlink/?linkid=870924
Comment:
    Add your markup here. IMPORTANT EX. The supplier or manufactuer charged me (contractor) $11.50 per box; I added for my profit $4.45 per box. $4.45 x 6,536.</t>
      </text>
    </comment>
    <comment ref="I15" authorId="6" shapeId="0" xr:uid="{A614F098-885C-4064-BDC6-9B5F773C0335}">
      <text>
        <t>[Threaded comment]
Your version of Excel allows you to read this threaded comment; however, any edits to it will get removed if the file is opened in a newer version of Excel. Learn more: https://go.microsoft.com/fwlink/?linkid=870924
Comment:
    DONOT TOUCH Calculated automatically this is your profit</t>
      </text>
    </comment>
    <comment ref="F16" authorId="7" shapeId="0" xr:uid="{E4D9F296-96A0-418E-9963-C40C1967DAD4}">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based on the contract. Ex. 6,636 boxes of gloves.</t>
      </text>
    </comment>
    <comment ref="I27" authorId="8" shapeId="0" xr:uid="{2B55A79F-1096-4DE9-8F72-010071ACB7E9}">
      <text>
        <t>[Threaded comment]
Your version of Excel allows you to read this threaded comment; however, any edits to it will get removed if the file is opened in a newer version of Excel. Learn more: https://go.microsoft.com/fwlink/?linkid=870924
Comment:
    Profit</t>
      </text>
    </comment>
    <comment ref="J27" authorId="9" shapeId="0" xr:uid="{2B7D6043-B5B9-4D02-AA8F-C2E22A277FAC}">
      <text>
        <t>[Threaded comment]
Your version of Excel allows you to read this threaded comment; however, any edits to it will get removed if the file is opened in a newer version of Excel. Learn more: https://go.microsoft.com/fwlink/?linkid=870924
Comment:
    Contract costs to the government</t>
      </text>
    </comment>
    <comment ref="E31" authorId="10" shapeId="0" xr:uid="{B9ADB694-04D5-42A4-BB08-CF7617C1E1B0}">
      <text>
        <t>[Threaded comment]
Your version of Excel allows you to read this threaded comment; however, any edits to it will get removed if the file is opened in a newer version of Excel. Learn more: https://go.microsoft.com/fwlink/?linkid=870924
Comment:
    Input the rate per hour for your employee or administrator.  You can also NOT charge for an Administor employee to be competitive.</t>
      </text>
    </comment>
    <comment ref="F31" authorId="11" shapeId="0" xr:uid="{002DE919-7498-4032-B5FD-EBCBE57B67A3}">
      <text>
        <t>[Threaded comment]
Your version of Excel allows you to read this threaded comment; however, any edits to it will get removed if the file is opened in a newer version of Excel. Learn more: https://go.microsoft.com/fwlink/?linkid=870924
Comment:
    # of Hours you estimate the employee will work on this contract.</t>
      </text>
    </comment>
    <comment ref="G31" authorId="12" shapeId="0" xr:uid="{44A8871B-50BD-43D6-A6A2-7DD4F2D09336}">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31" authorId="13" shapeId="0" xr:uid="{AB2F62F9-1166-4C69-8074-D13EDC8C5D30}">
      <text>
        <t>[Threaded comment]
Your version of Excel allows you to read this threaded comment; however, any edits to it will get removed if the file is opened in a newer version of Excel. Learn more: https://go.microsoft.com/fwlink/?linkid=870924
Comment:
    Add your markup to the employee's rate here or leave it blank at $0.00 for no markup.  If you markup the employee's rate it will calculate in the total employee (administrator's) cost.  It will also show in your profit.</t>
      </text>
    </comment>
    <comment ref="I31" authorId="14" shapeId="0" xr:uid="{09479D8C-DAF9-45D5-A725-809E42F7970E}">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31" authorId="15" shapeId="0" xr:uid="{B54A9360-2181-4DB2-8B68-1635322A54BB}">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E42" authorId="16" shapeId="0" xr:uid="{E6F8334D-D94C-4CBE-84E4-308C5D84EA75}">
      <text>
        <t>[Threaded comment]
Your version of Excel allows you to read this threaded comment; however, any edits to it will get removed if the file is opened in a newer version of Excel. Learn more: https://go.microsoft.com/fwlink/?linkid=870924
Comment:
    IMPORTANT: Only input hours here if the subcontractor charges you by the hour.  If they give you one price but no hourly,  INPUT "0" OR LEAVE THIS COLUMN BLANK and use the rate column only.</t>
      </text>
    </comment>
    <comment ref="F42" authorId="17" shapeId="0" xr:uid="{9CC7123F-21FC-4098-94E2-D1D4A68E7D5B}">
      <text>
        <t>[Threaded comment]
Your version of Excel allows you to read this threaded comment; however, any edits to it will get removed if the file is opened in a newer version of Excel. Learn more: https://go.microsoft.com/fwlink/?linkid=870924
Comment:
    IMPORTANT: Input the rate ONLY if you have the number of hours for the job. EXAMPLE 10 hours @ $40.00. IF you only have the total cost, just put in the TOTAL PRICE| COST.  DO NOT include the number of hours if you have just the total price.</t>
      </text>
    </comment>
    <comment ref="G42" authorId="18" shapeId="0" xr:uid="{88F74F2D-FFAA-419A-A5DF-3CB4FFDC6557}">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42" authorId="19" shapeId="0" xr:uid="{3D7D826F-B623-459D-AF6A-FE8D03AAD4FD}">
      <text>
        <t>[Threaded comment]
Your version of Excel allows you to read this threaded comment; however, any edits to it will get removed if the file is opened in a newer version of Excel. Learn more: https://go.microsoft.com/fwlink/?linkid=870924
Comment:
    Input any additional subcontractor costs or leave at "$0.00.</t>
      </text>
    </comment>
    <comment ref="I42" authorId="20" shapeId="0" xr:uid="{4E32EF21-FB0E-4BC2-B653-2A0B0BD99502}">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42" authorId="21" shapeId="0" xr:uid="{D620E5A3-61FA-4A6A-B515-69DFA17F220E}">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A51" authorId="22" shapeId="0" xr:uid="{FF0ACF3F-E8D8-4D4B-83C9-4049BDDC1B8C}">
      <text>
        <t>[Threaded comment]
Your version of Excel allows you to read this threaded comment; however, any edits to it will get removed if the file is opened in a newer version of Excel. Learn more: https://go.microsoft.com/fwlink/?linkid=870924
Comment:
    All support services go here</t>
      </text>
    </comment>
    <comment ref="H52" authorId="23" shapeId="0" xr:uid="{23016424-28F9-4BB1-A1C3-6ADCA511C328}">
      <text>
        <t>[Threaded comment]
Your version of Excel allows you to read this threaded comment; however, any edits to it will get removed if the file is opened in a newer version of Excel. Learn more: https://go.microsoft.com/fwlink/?linkid=870924
Comment:
    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
      </text>
    </comment>
    <comment ref="I52" authorId="24" shapeId="0" xr:uid="{EEFD3371-E379-47E0-9CC5-224F1BCEF444}">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52" authorId="25" shapeId="0" xr:uid="{82306C5B-504D-4BA4-B38F-3717E4E73EF4}">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I62" authorId="26" shapeId="0" xr:uid="{FE3FB5AB-FB9B-411F-BAAD-9F25F4540274}">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62" authorId="27" shapeId="0" xr:uid="{6A6222C1-CE0B-47B7-B2B1-3A9FAB5A297A}">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tc={1ACECD17-D0A2-42C8-BFC5-8A2017A3CE95}</author>
    <author>tc={0FA00ECD-17FE-45B5-9684-CC876C5A6A5F}</author>
    <author>tc={F80D8C02-8079-4B5B-B3DF-6E2D3AC3A8F7}</author>
    <author>tc={CC141520-F987-4A5E-AE7C-D41D0AA458B1}</author>
    <author>tc={8AD7B3C5-A27E-4DF3-8C3E-AD2DCE61E95C}</author>
    <author>tc={DDFD81E5-816F-4FB6-94A5-E438323395BF}</author>
    <author>tc={B3E11203-CD71-4D97-A06A-D55A0EEBB6C5}</author>
    <author>tc={30889E5A-1698-4F50-B78C-08BF4C36718F}</author>
    <author>tc={5BE972B9-2290-4A6B-98E8-4CE8828A457E}</author>
    <author>tc={431AD66A-38E6-4C16-82C3-72CFEC1B476A}</author>
    <author>tc={CA0612E7-5646-4A79-9ACE-15A7494207EA}</author>
    <author>tc={EFF58374-1661-4C70-9BA8-38EFE1EC4C28}</author>
    <author>tc={73655F5F-103E-4953-BA75-85BF255AD1E6}</author>
    <author>tc={28E5C315-AAED-4468-8047-B583D43EEF60}</author>
    <author>tc={353A75E1-0C68-470D-9A91-719787BEDFB8}</author>
    <author>tc={9D62EBC7-EEAC-4D73-85C9-2F335F5B965F}</author>
    <author>tc={70FE7C8F-E004-4C87-9B40-D99E02473B23}</author>
    <author>tc={0D95CF56-F690-4577-9C65-049535DA790D}</author>
    <author>tc={42F959A4-7C01-4A34-8850-D2A7B58390D9}</author>
    <author>tc={DFE967A5-1567-4E8F-B635-89B50470E835}</author>
    <author>tc={1B18912E-8725-4167-9540-7C8109E08707}</author>
    <author>tc={0923A438-1628-42D4-996D-BAB2690044F1}</author>
    <author>tc={14FCBC15-D965-4794-9958-D0AF44811601}</author>
    <author>tc={E579A1B9-8559-4DB2-9F77-31753F9D5F48}</author>
    <author>tc={47F31448-D280-4F2F-8206-AACD24F1327C}</author>
    <author>tc={B156C881-D5E9-41DD-BA85-C085DB1A5688}</author>
    <author>tc={4E957A63-B6FF-4702-BBF3-9A851947B5D6}</author>
    <author>tc={03B3C1DA-E598-4FE5-BB8D-CBFF0D354945}</author>
  </authors>
  <commentList>
    <comment ref="B8" authorId="0" shapeId="0" xr:uid="{1ACECD17-D0A2-42C8-BFC5-8A2017A3CE95}">
      <text>
        <t>[Threaded comment]
Your version of Excel allows you to read this threaded comment; however, any edits to it will get removed if the file is opened in a newer version of Excel. Learn more: https://go.microsoft.com/fwlink/?linkid=870924
Comment:
    WARNING: Do not touch -These two rows calculated automatically.</t>
      </text>
    </comment>
    <comment ref="B9" authorId="1" shapeId="0" xr:uid="{0FA00ECD-17FE-45B5-9684-CC876C5A6A5F}">
      <text>
        <t>[Threaded comment]
Your version of Excel allows you to read this threaded comment; however, any edits to it will get removed if the file is opened in a newer version of Excel. Learn more: https://go.microsoft.com/fwlink/?linkid=870924
Comment:
    WARNING: Do not touch - these two areas calculate automatically.</t>
      </text>
    </comment>
    <comment ref="E15" authorId="2" shapeId="0" xr:uid="{F80D8C02-8079-4B5B-B3DF-6E2D3AC3A8F7}">
      <text>
        <t>[Threaded comment]
Your version of Excel allows you to read this threaded comment; however, any edits to it will get removed if the file is opened in a newer version of Excel. Learn more: https://go.microsoft.com/fwlink/?linkid=870924
Comment:
    Input price you recieved from manufacturer, distributor or supplier. IMPORTANT: Example $11.50 per box of gloves if it includes shipping you will not add shipping cost under transportation.</t>
      </text>
    </comment>
    <comment ref="F15" authorId="3" shapeId="0" xr:uid="{CC141520-F987-4A5E-AE7C-D41D0AA458B1}">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Example 6,636 boxes.  If it's priced by pieces, put the number of pieces.  Do this for each product in the same contract.</t>
      </text>
    </comment>
    <comment ref="G15" authorId="4" shapeId="0" xr:uid="{8AD7B3C5-A27E-4DF3-8C3E-AD2DCE61E95C}">
      <text>
        <t>[Threaded comment]
Your version of Excel allows you to read this threaded comment; however, any edits to it will get removed if the file is opened in a newer version of Excel. Learn more: https://go.microsoft.com/fwlink/?linkid=870924
Comment:
    DONOT TOUCH Calculates automatically</t>
      </text>
    </comment>
    <comment ref="H15" authorId="5" shapeId="0" xr:uid="{DDFD81E5-816F-4FB6-94A5-E438323395BF}">
      <text>
        <t>[Threaded comment]
Your version of Excel allows you to read this threaded comment; however, any edits to it will get removed if the file is opened in a newer version of Excel. Learn more: https://go.microsoft.com/fwlink/?linkid=870924
Comment:
    Add your markup here. IMPORTANT EX. The supplier or manufactuer charged me (contractor) $11.50 per box; I added for my profit $4.45 per box. $4.45 x 6,536.</t>
      </text>
    </comment>
    <comment ref="I15" authorId="6" shapeId="0" xr:uid="{B3E11203-CD71-4D97-A06A-D55A0EEBB6C5}">
      <text>
        <t>[Threaded comment]
Your version of Excel allows you to read this threaded comment; however, any edits to it will get removed if the file is opened in a newer version of Excel. Learn more: https://go.microsoft.com/fwlink/?linkid=870924
Comment:
    DONOT TOUCH Calculated automatically this is your profit</t>
      </text>
    </comment>
    <comment ref="F16" authorId="7" shapeId="0" xr:uid="{30889E5A-1698-4F50-B78C-08BF4C36718F}">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based on the contract. Ex. 6,636 boxes of gloves.</t>
      </text>
    </comment>
    <comment ref="I27" authorId="8" shapeId="0" xr:uid="{5BE972B9-2290-4A6B-98E8-4CE8828A457E}">
      <text>
        <t>[Threaded comment]
Your version of Excel allows you to read this threaded comment; however, any edits to it will get removed if the file is opened in a newer version of Excel. Learn more: https://go.microsoft.com/fwlink/?linkid=870924
Comment:
    Profit</t>
      </text>
    </comment>
    <comment ref="J27" authorId="9" shapeId="0" xr:uid="{431AD66A-38E6-4C16-82C3-72CFEC1B476A}">
      <text>
        <t>[Threaded comment]
Your version of Excel allows you to read this threaded comment; however, any edits to it will get removed if the file is opened in a newer version of Excel. Learn more: https://go.microsoft.com/fwlink/?linkid=870924
Comment:
    Contract costs to the government</t>
      </text>
    </comment>
    <comment ref="E31" authorId="10" shapeId="0" xr:uid="{CA0612E7-5646-4A79-9ACE-15A7494207EA}">
      <text>
        <t>[Threaded comment]
Your version of Excel allows you to read this threaded comment; however, any edits to it will get removed if the file is opened in a newer version of Excel. Learn more: https://go.microsoft.com/fwlink/?linkid=870924
Comment:
    Input the rate per hour for your employee or administrator.  You can also NOT charge for an Administor employee to be competitive.</t>
      </text>
    </comment>
    <comment ref="F31" authorId="11" shapeId="0" xr:uid="{EFF58374-1661-4C70-9BA8-38EFE1EC4C28}">
      <text>
        <t>[Threaded comment]
Your version of Excel allows you to read this threaded comment; however, any edits to it will get removed if the file is opened in a newer version of Excel. Learn more: https://go.microsoft.com/fwlink/?linkid=870924
Comment:
    # of Hours you estimate the employee will work on this contract.</t>
      </text>
    </comment>
    <comment ref="G31" authorId="12" shapeId="0" xr:uid="{73655F5F-103E-4953-BA75-85BF255AD1E6}">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31" authorId="13" shapeId="0" xr:uid="{28E5C315-AAED-4468-8047-B583D43EEF60}">
      <text>
        <t>[Threaded comment]
Your version of Excel allows you to read this threaded comment; however, any edits to it will get removed if the file is opened in a newer version of Excel. Learn more: https://go.microsoft.com/fwlink/?linkid=870924
Comment:
    Add your markup to the employee's rate here or leave it blank at $0.00 for no markup.  If you markup the employee's rate it will calculate in the total employee (administrator's) cost.  It will also show in your profit.</t>
      </text>
    </comment>
    <comment ref="I31" authorId="14" shapeId="0" xr:uid="{353A75E1-0C68-470D-9A91-719787BEDFB8}">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31" authorId="15" shapeId="0" xr:uid="{9D62EBC7-EEAC-4D73-85C9-2F335F5B965F}">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E42" authorId="16" shapeId="0" xr:uid="{70FE7C8F-E004-4C87-9B40-D99E02473B23}">
      <text>
        <t>[Threaded comment]
Your version of Excel allows you to read this threaded comment; however, any edits to it will get removed if the file is opened in a newer version of Excel. Learn more: https://go.microsoft.com/fwlink/?linkid=870924
Comment:
    IMPORTANT: Only input hours here if the subcontractor charges you by the hour.  If they give you one price but no hourly,  INPUT "0" OR LEAVE THIS COLUMN BLANK and use the rate column only.</t>
      </text>
    </comment>
    <comment ref="F42" authorId="17" shapeId="0" xr:uid="{0D95CF56-F690-4577-9C65-049535DA790D}">
      <text>
        <t>[Threaded comment]
Your version of Excel allows you to read this threaded comment; however, any edits to it will get removed if the file is opened in a newer version of Excel. Learn more: https://go.microsoft.com/fwlink/?linkid=870924
Comment:
    IMPORTANT: Input the rate ONLY if you have the number of hours for the job. EXAMPLE 10 hours @ $40.00. IF you only have the total cost, just put in the TOTAL PRICE| COST.  DO NOT include the number of hours if you have just the total price.</t>
      </text>
    </comment>
    <comment ref="G42" authorId="18" shapeId="0" xr:uid="{42F959A4-7C01-4A34-8850-D2A7B58390D9}">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42" authorId="19" shapeId="0" xr:uid="{DFE967A5-1567-4E8F-B635-89B50470E835}">
      <text>
        <t>[Threaded comment]
Your version of Excel allows you to read this threaded comment; however, any edits to it will get removed if the file is opened in a newer version of Excel. Learn more: https://go.microsoft.com/fwlink/?linkid=870924
Comment:
    Input any additional subcontractor costs or leave at "$0.00.</t>
      </text>
    </comment>
    <comment ref="I42" authorId="20" shapeId="0" xr:uid="{1B18912E-8725-4167-9540-7C8109E08707}">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42" authorId="21" shapeId="0" xr:uid="{0923A438-1628-42D4-996D-BAB2690044F1}">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A51" authorId="22" shapeId="0" xr:uid="{14FCBC15-D965-4794-9958-D0AF44811601}">
      <text>
        <t>[Threaded comment]
Your version of Excel allows you to read this threaded comment; however, any edits to it will get removed if the file is opened in a newer version of Excel. Learn more: https://go.microsoft.com/fwlink/?linkid=870924
Comment:
    All support services go here</t>
      </text>
    </comment>
    <comment ref="H52" authorId="23" shapeId="0" xr:uid="{E579A1B9-8559-4DB2-9F77-31753F9D5F48}">
      <text>
        <t>[Threaded comment]
Your version of Excel allows you to read this threaded comment; however, any edits to it will get removed if the file is opened in a newer version of Excel. Learn more: https://go.microsoft.com/fwlink/?linkid=870924
Comment:
    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
      </text>
    </comment>
    <comment ref="I52" authorId="24" shapeId="0" xr:uid="{47F31448-D280-4F2F-8206-AACD24F1327C}">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52" authorId="25" shapeId="0" xr:uid="{B156C881-D5E9-41DD-BA85-C085DB1A5688}">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I62" authorId="26" shapeId="0" xr:uid="{4E957A63-B6FF-4702-BBF3-9A851947B5D6}">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62" authorId="27" shapeId="0" xr:uid="{03B3C1DA-E598-4FE5-BB8D-CBFF0D354945}">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tc={6501BC9C-531F-4FD0-B1F4-469D1DF509A4}</author>
    <author>tc={EE714124-4335-437D-BB2B-96582D5FF88F}</author>
    <author>tc={FAE082A0-8B9D-4517-9451-5138727C9D70}</author>
    <author>tc={DBF4638E-6E23-4E64-A14C-53ABE6FA75A9}</author>
    <author>tc={33D020FE-B0E1-4C85-A479-87FDDDE758D8}</author>
    <author>tc={7037A24B-CDD4-4BB7-BF41-A32F9BB596FF}</author>
    <author>tc={998CEC15-8E8C-4518-B591-308E81943C4A}</author>
    <author>tc={FD68413F-9A5C-4B7E-B1FB-4AE17918D697}</author>
    <author>tc={E35AE7F6-9F47-4CB5-BC89-C2495882E5F9}</author>
    <author>tc={0E4108FD-223C-47E7-B816-62364C0DB97A}</author>
    <author>tc={9D4D3AAE-D594-4CCE-9716-B7CEF22D0EC2}</author>
    <author>tc={C80E61A0-DB05-4F5E-A543-562E7772994B}</author>
    <author>tc={81E4FDD6-DD60-4F9C-9D8C-31CC197B6004}</author>
    <author>tc={DA3AD833-80AA-497B-8101-A1B1F1C0C4EA}</author>
    <author>tc={3E1AE24B-55A3-4B09-A64D-071964C59625}</author>
    <author>tc={09D9F586-7DC0-4C4F-BB09-D8D9A5EF8CF3}</author>
    <author>tc={27FDEF62-A685-4D94-A15E-005DB6A91E23}</author>
    <author>tc={8D79FB17-5F17-45DB-9C5F-7A269EE755DF}</author>
    <author>tc={B64F5B28-3FEC-44DB-8628-4FEE6FC467DC}</author>
    <author>tc={536E7B20-84E5-4B04-A262-547451EA780F}</author>
    <author>tc={1DD6A49E-54EC-415F-AAB6-54EEB42619D6}</author>
    <author>tc={CB82DBA1-36EA-4720-931E-C8A03B4538A5}</author>
    <author>tc={EF255CE3-9FD0-4897-86B8-3EE72413CB27}</author>
    <author>tc={16F56042-2158-4E12-8FCD-1602DFBA1062}</author>
    <author>tc={BDD37F2F-EECE-4F36-9DAE-23B70C6975DC}</author>
    <author>tc={01A65556-1244-4F10-AEDA-EC42907D5769}</author>
    <author>tc={DB8B0FF4-AF42-4015-ADA2-524F1A26F2F8}</author>
    <author>tc={EEBD4F36-A483-426F-A20E-769A42AE6017}</author>
  </authors>
  <commentList>
    <comment ref="B8" authorId="0" shapeId="0" xr:uid="{6501BC9C-531F-4FD0-B1F4-469D1DF509A4}">
      <text>
        <t>[Threaded comment]
Your version of Excel allows you to read this threaded comment; however, any edits to it will get removed if the file is opened in a newer version of Excel. Learn more: https://go.microsoft.com/fwlink/?linkid=870924
Comment:
    WARNING: Do not touch -These two rows calculated automatically.</t>
      </text>
    </comment>
    <comment ref="B9" authorId="1" shapeId="0" xr:uid="{EE714124-4335-437D-BB2B-96582D5FF88F}">
      <text>
        <t>[Threaded comment]
Your version of Excel allows you to read this threaded comment; however, any edits to it will get removed if the file is opened in a newer version of Excel. Learn more: https://go.microsoft.com/fwlink/?linkid=870924
Comment:
    WARNING: Do not touch - these two areas calculate automatically.</t>
      </text>
    </comment>
    <comment ref="E15" authorId="2" shapeId="0" xr:uid="{FAE082A0-8B9D-4517-9451-5138727C9D70}">
      <text>
        <t>[Threaded comment]
Your version of Excel allows you to read this threaded comment; however, any edits to it will get removed if the file is opened in a newer version of Excel. Learn more: https://go.microsoft.com/fwlink/?linkid=870924
Comment:
    Input price you recieved from manufacturer, distributor or supplier. IMPORTANT: Example $11.50 per box of gloves if it includes shipping you will not add shipping cost under transportation.</t>
      </text>
    </comment>
    <comment ref="F15" authorId="3" shapeId="0" xr:uid="{DBF4638E-6E23-4E64-A14C-53ABE6FA75A9}">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Example 6,636 boxes.  If it's priced by pieces, put the number of pieces.  Do this for each product in the same contract.</t>
      </text>
    </comment>
    <comment ref="G15" authorId="4" shapeId="0" xr:uid="{33D020FE-B0E1-4C85-A479-87FDDDE758D8}">
      <text>
        <t>[Threaded comment]
Your version of Excel allows you to read this threaded comment; however, any edits to it will get removed if the file is opened in a newer version of Excel. Learn more: https://go.microsoft.com/fwlink/?linkid=870924
Comment:
    DONOT TOUCH Calculates automatically</t>
      </text>
    </comment>
    <comment ref="H15" authorId="5" shapeId="0" xr:uid="{7037A24B-CDD4-4BB7-BF41-A32F9BB596FF}">
      <text>
        <t>[Threaded comment]
Your version of Excel allows you to read this threaded comment; however, any edits to it will get removed if the file is opened in a newer version of Excel. Learn more: https://go.microsoft.com/fwlink/?linkid=870924
Comment:
    Add your markup here. IMPORTANT EX. The supplier or manufactuer charged me (contractor) $11.50 per box; I added for my profit $4.45 per box. $4.45 x 6,536.</t>
      </text>
    </comment>
    <comment ref="I15" authorId="6" shapeId="0" xr:uid="{998CEC15-8E8C-4518-B591-308E81943C4A}">
      <text>
        <t>[Threaded comment]
Your version of Excel allows you to read this threaded comment; however, any edits to it will get removed if the file is opened in a newer version of Excel. Learn more: https://go.microsoft.com/fwlink/?linkid=870924
Comment:
    DONOT TOUCH Calculated automatically this is your profit</t>
      </text>
    </comment>
    <comment ref="F16" authorId="7" shapeId="0" xr:uid="{FD68413F-9A5C-4B7E-B1FB-4AE17918D697}">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based on the contract. Ex. 6,636 boxes of gloves.</t>
      </text>
    </comment>
    <comment ref="I27" authorId="8" shapeId="0" xr:uid="{E35AE7F6-9F47-4CB5-BC89-C2495882E5F9}">
      <text>
        <t>[Threaded comment]
Your version of Excel allows you to read this threaded comment; however, any edits to it will get removed if the file is opened in a newer version of Excel. Learn more: https://go.microsoft.com/fwlink/?linkid=870924
Comment:
    Profit</t>
      </text>
    </comment>
    <comment ref="J27" authorId="9" shapeId="0" xr:uid="{0E4108FD-223C-47E7-B816-62364C0DB97A}">
      <text>
        <t>[Threaded comment]
Your version of Excel allows you to read this threaded comment; however, any edits to it will get removed if the file is opened in a newer version of Excel. Learn more: https://go.microsoft.com/fwlink/?linkid=870924
Comment:
    Contract costs to the government</t>
      </text>
    </comment>
    <comment ref="E31" authorId="10" shapeId="0" xr:uid="{9D4D3AAE-D594-4CCE-9716-B7CEF22D0EC2}">
      <text>
        <t>[Threaded comment]
Your version of Excel allows you to read this threaded comment; however, any edits to it will get removed if the file is opened in a newer version of Excel. Learn more: https://go.microsoft.com/fwlink/?linkid=870924
Comment:
    Input the rate per hour for your employee or administrator.  You can also NOT charge for an Administor employee to be competitive.</t>
      </text>
    </comment>
    <comment ref="F31" authorId="11" shapeId="0" xr:uid="{C80E61A0-DB05-4F5E-A543-562E7772994B}">
      <text>
        <t>[Threaded comment]
Your version of Excel allows you to read this threaded comment; however, any edits to it will get removed if the file is opened in a newer version of Excel. Learn more: https://go.microsoft.com/fwlink/?linkid=870924
Comment:
    # of Hours you estimate the employee will work on this contract.</t>
      </text>
    </comment>
    <comment ref="G31" authorId="12" shapeId="0" xr:uid="{81E4FDD6-DD60-4F9C-9D8C-31CC197B6004}">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31" authorId="13" shapeId="0" xr:uid="{DA3AD833-80AA-497B-8101-A1B1F1C0C4EA}">
      <text>
        <t>[Threaded comment]
Your version of Excel allows you to read this threaded comment; however, any edits to it will get removed if the file is opened in a newer version of Excel. Learn more: https://go.microsoft.com/fwlink/?linkid=870924
Comment:
    Add your markup to the employee's rate here or leave it blank at $0.00 for no markup.  If you markup the employee's rate it will calculate in the total employee (administrator's) cost.  It will also show in your profit.</t>
      </text>
    </comment>
    <comment ref="I31" authorId="14" shapeId="0" xr:uid="{3E1AE24B-55A3-4B09-A64D-071964C59625}">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31" authorId="15" shapeId="0" xr:uid="{09D9F586-7DC0-4C4F-BB09-D8D9A5EF8CF3}">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E42" authorId="16" shapeId="0" xr:uid="{27FDEF62-A685-4D94-A15E-005DB6A91E23}">
      <text>
        <t>[Threaded comment]
Your version of Excel allows you to read this threaded comment; however, any edits to it will get removed if the file is opened in a newer version of Excel. Learn more: https://go.microsoft.com/fwlink/?linkid=870924
Comment:
    IMPORTANT: Only input hours here if the subcontractor charges you by the hour.  If they give you one price but no hourly,  INPUT "0" OR LEAVE THIS COLUMN BLANK and use the rate column only.</t>
      </text>
    </comment>
    <comment ref="F42" authorId="17" shapeId="0" xr:uid="{8D79FB17-5F17-45DB-9C5F-7A269EE755DF}">
      <text>
        <t>[Threaded comment]
Your version of Excel allows you to read this threaded comment; however, any edits to it will get removed if the file is opened in a newer version of Excel. Learn more: https://go.microsoft.com/fwlink/?linkid=870924
Comment:
    IMPORTANT: Input the rate ONLY if you have the number of hours for the job. EXAMPLE 10 hours @ $40.00. IF you only have the total cost, just put in the TOTAL PRICE| COST.  DO NOT include the number of hours if you have just the total price.</t>
      </text>
    </comment>
    <comment ref="G42" authorId="18" shapeId="0" xr:uid="{B64F5B28-3FEC-44DB-8628-4FEE6FC467DC}">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42" authorId="19" shapeId="0" xr:uid="{536E7B20-84E5-4B04-A262-547451EA780F}">
      <text>
        <t>[Threaded comment]
Your version of Excel allows you to read this threaded comment; however, any edits to it will get removed if the file is opened in a newer version of Excel. Learn more: https://go.microsoft.com/fwlink/?linkid=870924
Comment:
    Input any additional subcontractor costs or leave at "$0.00.</t>
      </text>
    </comment>
    <comment ref="I42" authorId="20" shapeId="0" xr:uid="{1DD6A49E-54EC-415F-AAB6-54EEB42619D6}">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42" authorId="21" shapeId="0" xr:uid="{CB82DBA1-36EA-4720-931E-C8A03B4538A5}">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A51" authorId="22" shapeId="0" xr:uid="{EF255CE3-9FD0-4897-86B8-3EE72413CB27}">
      <text>
        <t>[Threaded comment]
Your version of Excel allows you to read this threaded comment; however, any edits to it will get removed if the file is opened in a newer version of Excel. Learn more: https://go.microsoft.com/fwlink/?linkid=870924
Comment:
    All support services go here</t>
      </text>
    </comment>
    <comment ref="H52" authorId="23" shapeId="0" xr:uid="{16F56042-2158-4E12-8FCD-1602DFBA1062}">
      <text>
        <t>[Threaded comment]
Your version of Excel allows you to read this threaded comment; however, any edits to it will get removed if the file is opened in a newer version of Excel. Learn more: https://go.microsoft.com/fwlink/?linkid=870924
Comment:
    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
      </text>
    </comment>
    <comment ref="I52" authorId="24" shapeId="0" xr:uid="{BDD37F2F-EECE-4F36-9DAE-23B70C6975DC}">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52" authorId="25" shapeId="0" xr:uid="{01A65556-1244-4F10-AEDA-EC42907D5769}">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I62" authorId="26" shapeId="0" xr:uid="{DB8B0FF4-AF42-4015-ADA2-524F1A26F2F8}">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62" authorId="27" shapeId="0" xr:uid="{EEBD4F36-A483-426F-A20E-769A42AE6017}">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tc={1EA65E6A-48E2-4BBB-8977-70EBF669E75B}</author>
    <author>tc={5D7798C0-A982-41FF-AAD7-EC34559EFCB4}</author>
    <author>tc={8A31E5D0-5412-416F-910A-EE4DD18CD089}</author>
    <author>tc={4AEAFD1A-849D-4911-BCB0-7B2AFABA1B30}</author>
    <author>tc={820E256D-6431-4FEC-9624-F95E0F5E6605}</author>
    <author>tc={122A8E04-39CF-4F6C-A3EF-33155BEA4AE5}</author>
    <author>tc={C78FBC93-F4E6-4F06-8817-4EF935047159}</author>
    <author>tc={3FE8B83F-B98A-41A2-82BB-0BD192C74D55}</author>
    <author>tc={0070B131-DABF-45D3-B00A-EE5D940D9AFD}</author>
    <author>tc={84074BBE-9F4D-41DC-96BF-99E001A0B2D1}</author>
    <author>tc={33D63F04-0C04-471C-A28F-2E16C5187418}</author>
    <author>tc={12CB4731-571C-4BD3-9191-80800D95E8B4}</author>
    <author>tc={FF3DAA34-C42D-4E38-BAFA-C24BB1BCA9FF}</author>
    <author>tc={92836B83-7412-4E6F-831D-858B4B0F1771}</author>
    <author>tc={0380FA90-EA1E-4FDC-B7C1-7E9B0A0E6571}</author>
    <author>tc={C5DCE09E-472F-4B96-96C4-858B72BC8FFF}</author>
    <author>tc={82DBE47D-BC6E-4259-BF5E-10486C111187}</author>
    <author>tc={CC0CDC9C-E621-4C8F-8C1D-1FEC346F6CE8}</author>
    <author>tc={40D08B78-80B4-4443-972D-571DA9FC0E9F}</author>
    <author>tc={AAB7EBEE-3C0D-4F54-80E4-9BA705BCEB14}</author>
    <author>tc={6AB5A19B-AFA7-4FB2-86FC-E2773F06E767}</author>
    <author>tc={0902D54D-CB54-4163-A580-1C643CE7E36E}</author>
    <author>tc={EBB7BBEB-F290-45D3-AD62-C4EDECF1FF83}</author>
    <author>tc={792E1468-8B9F-4925-AA29-A9D65E2386E1}</author>
    <author>tc={19B74A22-9BD5-41F7-A106-A0F2AF713CDF}</author>
    <author>tc={B721FE42-4003-4317-9299-D0DB61A81004}</author>
    <author>tc={E3176A63-A815-4DD7-8B30-8E2A4C1121F3}</author>
    <author>tc={9D0EA889-7380-4306-8EF1-4C6E5B7D728F}</author>
  </authors>
  <commentList>
    <comment ref="B8" authorId="0" shapeId="0" xr:uid="{1EA65E6A-48E2-4BBB-8977-70EBF669E75B}">
      <text>
        <t>[Threaded comment]
Your version of Excel allows you to read this threaded comment; however, any edits to it will get removed if the file is opened in a newer version of Excel. Learn more: https://go.microsoft.com/fwlink/?linkid=870924
Comment:
    WARNING: Do not touch -These two rows calculated automatically.</t>
      </text>
    </comment>
    <comment ref="B9" authorId="1" shapeId="0" xr:uid="{5D7798C0-A982-41FF-AAD7-EC34559EFCB4}">
      <text>
        <t>[Threaded comment]
Your version of Excel allows you to read this threaded comment; however, any edits to it will get removed if the file is opened in a newer version of Excel. Learn more: https://go.microsoft.com/fwlink/?linkid=870924
Comment:
    WARNING: Do not touch - these two areas calculate automatically.</t>
      </text>
    </comment>
    <comment ref="E15" authorId="2" shapeId="0" xr:uid="{8A31E5D0-5412-416F-910A-EE4DD18CD089}">
      <text>
        <t>[Threaded comment]
Your version of Excel allows you to read this threaded comment; however, any edits to it will get removed if the file is opened in a newer version of Excel. Learn more: https://go.microsoft.com/fwlink/?linkid=870924
Comment:
    Input price you recieved from manufacturer, distributor or supplier. IMPORTANT: Example $11.50 per box of gloves if it includes shipping you will not add shipping cost under transportation.</t>
      </text>
    </comment>
    <comment ref="F15" authorId="3" shapeId="0" xr:uid="{4AEAFD1A-849D-4911-BCB0-7B2AFABA1B30}">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Example 6,636 boxes.  If it's priced by pieces, put the number of pieces.  Do this for each product in the same contract.</t>
      </text>
    </comment>
    <comment ref="G15" authorId="4" shapeId="0" xr:uid="{820E256D-6431-4FEC-9624-F95E0F5E6605}">
      <text>
        <t>[Threaded comment]
Your version of Excel allows you to read this threaded comment; however, any edits to it will get removed if the file is opened in a newer version of Excel. Learn more: https://go.microsoft.com/fwlink/?linkid=870924
Comment:
    DONOT TOUCH Calculates automatically</t>
      </text>
    </comment>
    <comment ref="H15" authorId="5" shapeId="0" xr:uid="{122A8E04-39CF-4F6C-A3EF-33155BEA4AE5}">
      <text>
        <t>[Threaded comment]
Your version of Excel allows you to read this threaded comment; however, any edits to it will get removed if the file is opened in a newer version of Excel. Learn more: https://go.microsoft.com/fwlink/?linkid=870924
Comment:
    Add your markup here. IMPORTANT EX. The supplier or manufactuer charged me (contractor) $11.50 per box; I added for my profit $4.45 per box. $4.45 x 6,536.</t>
      </text>
    </comment>
    <comment ref="I15" authorId="6" shapeId="0" xr:uid="{C78FBC93-F4E6-4F06-8817-4EF935047159}">
      <text>
        <t>[Threaded comment]
Your version of Excel allows you to read this threaded comment; however, any edits to it will get removed if the file is opened in a newer version of Excel. Learn more: https://go.microsoft.com/fwlink/?linkid=870924
Comment:
    DONOT TOUCH Calculated automatically this is your profit</t>
      </text>
    </comment>
    <comment ref="F16" authorId="7" shapeId="0" xr:uid="{3FE8B83F-B98A-41A2-82BB-0BD192C74D55}">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based on the contract. Ex. 6,636 boxes of gloves.</t>
      </text>
    </comment>
    <comment ref="I27" authorId="8" shapeId="0" xr:uid="{0070B131-DABF-45D3-B00A-EE5D940D9AFD}">
      <text>
        <t>[Threaded comment]
Your version of Excel allows you to read this threaded comment; however, any edits to it will get removed if the file is opened in a newer version of Excel. Learn more: https://go.microsoft.com/fwlink/?linkid=870924
Comment:
    Profit</t>
      </text>
    </comment>
    <comment ref="J27" authorId="9" shapeId="0" xr:uid="{84074BBE-9F4D-41DC-96BF-99E001A0B2D1}">
      <text>
        <t>[Threaded comment]
Your version of Excel allows you to read this threaded comment; however, any edits to it will get removed if the file is opened in a newer version of Excel. Learn more: https://go.microsoft.com/fwlink/?linkid=870924
Comment:
    Contract costs to the government</t>
      </text>
    </comment>
    <comment ref="E31" authorId="10" shapeId="0" xr:uid="{33D63F04-0C04-471C-A28F-2E16C5187418}">
      <text>
        <t>[Threaded comment]
Your version of Excel allows you to read this threaded comment; however, any edits to it will get removed if the file is opened in a newer version of Excel. Learn more: https://go.microsoft.com/fwlink/?linkid=870924
Comment:
    Input the rate per hour for your employee or administrator.  You can also NOT charge for an Administor employee to be competitive.</t>
      </text>
    </comment>
    <comment ref="F31" authorId="11" shapeId="0" xr:uid="{12CB4731-571C-4BD3-9191-80800D95E8B4}">
      <text>
        <t>[Threaded comment]
Your version of Excel allows you to read this threaded comment; however, any edits to it will get removed if the file is opened in a newer version of Excel. Learn more: https://go.microsoft.com/fwlink/?linkid=870924
Comment:
    # of Hours you estimate the employee will work on this contract.</t>
      </text>
    </comment>
    <comment ref="G31" authorId="12" shapeId="0" xr:uid="{FF3DAA34-C42D-4E38-BAFA-C24BB1BCA9FF}">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31" authorId="13" shapeId="0" xr:uid="{92836B83-7412-4E6F-831D-858B4B0F1771}">
      <text>
        <t>[Threaded comment]
Your version of Excel allows you to read this threaded comment; however, any edits to it will get removed if the file is opened in a newer version of Excel. Learn more: https://go.microsoft.com/fwlink/?linkid=870924
Comment:
    Add your markup to the employee's rate here or leave it blank at $0.00 for no markup.  If you markup the employee's rate it will calculate in the total employee (administrator's) cost.  It will also show in your profit.</t>
      </text>
    </comment>
    <comment ref="I31" authorId="14" shapeId="0" xr:uid="{0380FA90-EA1E-4FDC-B7C1-7E9B0A0E6571}">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31" authorId="15" shapeId="0" xr:uid="{C5DCE09E-472F-4B96-96C4-858B72BC8FFF}">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E42" authorId="16" shapeId="0" xr:uid="{82DBE47D-BC6E-4259-BF5E-10486C111187}">
      <text>
        <t>[Threaded comment]
Your version of Excel allows you to read this threaded comment; however, any edits to it will get removed if the file is opened in a newer version of Excel. Learn more: https://go.microsoft.com/fwlink/?linkid=870924
Comment:
    IMPORTANT: Only input hours here if the subcontractor charges you by the hour.  If they give you one price but no hourly,  INPUT "0" OR LEAVE THIS COLUMN BLANK and use the rate column only.</t>
      </text>
    </comment>
    <comment ref="F42" authorId="17" shapeId="0" xr:uid="{CC0CDC9C-E621-4C8F-8C1D-1FEC346F6CE8}">
      <text>
        <t>[Threaded comment]
Your version of Excel allows you to read this threaded comment; however, any edits to it will get removed if the file is opened in a newer version of Excel. Learn more: https://go.microsoft.com/fwlink/?linkid=870924
Comment:
    IMPORTANT: Input the rate ONLY if you have the number of hours for the job. EXAMPLE 10 hours @ $40.00. IF you only have the total cost, just put in the TOTAL PRICE| COST.  DO NOT include the number of hours if you have just the total price.</t>
      </text>
    </comment>
    <comment ref="G42" authorId="18" shapeId="0" xr:uid="{40D08B78-80B4-4443-972D-571DA9FC0E9F}">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42" authorId="19" shapeId="0" xr:uid="{AAB7EBEE-3C0D-4F54-80E4-9BA705BCEB14}">
      <text>
        <t>[Threaded comment]
Your version of Excel allows you to read this threaded comment; however, any edits to it will get removed if the file is opened in a newer version of Excel. Learn more: https://go.microsoft.com/fwlink/?linkid=870924
Comment:
    Input any additional subcontractor costs or leave at "$0.00.</t>
      </text>
    </comment>
    <comment ref="I42" authorId="20" shapeId="0" xr:uid="{6AB5A19B-AFA7-4FB2-86FC-E2773F06E767}">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42" authorId="21" shapeId="0" xr:uid="{0902D54D-CB54-4163-A580-1C643CE7E36E}">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A51" authorId="22" shapeId="0" xr:uid="{EBB7BBEB-F290-45D3-AD62-C4EDECF1FF83}">
      <text>
        <t>[Threaded comment]
Your version of Excel allows you to read this threaded comment; however, any edits to it will get removed if the file is opened in a newer version of Excel. Learn more: https://go.microsoft.com/fwlink/?linkid=870924
Comment:
    All support services go here</t>
      </text>
    </comment>
    <comment ref="H52" authorId="23" shapeId="0" xr:uid="{792E1468-8B9F-4925-AA29-A9D65E2386E1}">
      <text>
        <t>[Threaded comment]
Your version of Excel allows you to read this threaded comment; however, any edits to it will get removed if the file is opened in a newer version of Excel. Learn more: https://go.microsoft.com/fwlink/?linkid=870924
Comment:
    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
      </text>
    </comment>
    <comment ref="I52" authorId="24" shapeId="0" xr:uid="{19B74A22-9BD5-41F7-A106-A0F2AF713CDF}">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52" authorId="25" shapeId="0" xr:uid="{B721FE42-4003-4317-9299-D0DB61A81004}">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I62" authorId="26" shapeId="0" xr:uid="{E3176A63-A815-4DD7-8B30-8E2A4C1121F3}">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62" authorId="27" shapeId="0" xr:uid="{9D0EA889-7380-4306-8EF1-4C6E5B7D728F}">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tc={1B59D3DC-C6E8-4C93-9A15-8A2B3748448F}</author>
    <author>tc={AF55AEFE-E342-4994-94A0-970A534F2C93}</author>
    <author>tc={3EF386A7-A59D-4137-BB05-3A3865359F7A}</author>
    <author>tc={301C00B3-FD0A-43D0-8549-E50F20C9FAC3}</author>
    <author>tc={A625527A-6279-4625-882C-5EACCD7C6A9C}</author>
    <author>tc={0F10611F-136F-427C-B1A2-D9C9D1EAAC36}</author>
    <author>tc={842722C9-F045-45C9-B9F4-B7895D2C47FC}</author>
    <author>tc={04469596-F450-470C-8F7E-5747565A4548}</author>
    <author>tc={C8F9AD75-1188-4A93-91B5-D6EA2F5A6119}</author>
    <author>tc={373F66A6-619A-4B31-8860-D74B31E801EB}</author>
    <author>tc={23CA09AA-8001-4E62-80FF-6AB80D23A2CD}</author>
    <author>tc={3321506F-1642-4307-A3F6-846D5F0C5896}</author>
    <author>tc={6A9C189B-3146-4858-9549-51D45849C23D}</author>
    <author>tc={448DAEED-D223-4409-B1E9-339F0EE78600}</author>
    <author>tc={7C754D57-61CF-4297-9E6B-8E13E9F2DA5E}</author>
    <author>tc={6EB03BAB-E08F-479F-B032-C6C893B14FDE}</author>
    <author>tc={705F2F17-777B-482C-823C-643151913801}</author>
    <author>tc={0DDC4B06-69DF-4EF8-A2E0-D9CFEBF700C0}</author>
    <author>tc={5AED2CB4-382D-47B4-9CA7-7F5726BE4040}</author>
    <author>tc={5ED386B8-67EC-40EA-A5E4-9D63312DC8C6}</author>
    <author>tc={89542097-6B59-4432-88E2-BA171BD0C3FA}</author>
    <author>tc={D1FF3178-4179-4F89-844D-B3A37FA738AA}</author>
    <author>tc={7F1B779B-2FDB-4154-A86C-E793C742B089}</author>
    <author>tc={400D53F5-E4E7-49EE-B216-51FBDCBA081C}</author>
    <author>tc={0987B5EA-F298-4E79-9433-30D53BE7F4F3}</author>
    <author>tc={5F529167-C6E7-4614-B183-C40917D8D0F7}</author>
    <author>tc={CA3F47CE-9191-42FA-8965-1E0B829A756A}</author>
    <author>tc={C0A87855-3A95-41AA-A4D4-4584E319442E}</author>
  </authors>
  <commentList>
    <comment ref="B8" authorId="0" shapeId="0" xr:uid="{1B59D3DC-C6E8-4C93-9A15-8A2B3748448F}">
      <text>
        <t>[Threaded comment]
Your version of Excel allows you to read this threaded comment; however, any edits to it will get removed if the file is opened in a newer version of Excel. Learn more: https://go.microsoft.com/fwlink/?linkid=870924
Comment:
    WARNING: Do not touch -These two rows calculated automatically.</t>
      </text>
    </comment>
    <comment ref="B9" authorId="1" shapeId="0" xr:uid="{AF55AEFE-E342-4994-94A0-970A534F2C93}">
      <text>
        <t>[Threaded comment]
Your version of Excel allows you to read this threaded comment; however, any edits to it will get removed if the file is opened in a newer version of Excel. Learn more: https://go.microsoft.com/fwlink/?linkid=870924
Comment:
    WARNING: Do not touch - these two areas calculate automatically.</t>
      </text>
    </comment>
    <comment ref="E15" authorId="2" shapeId="0" xr:uid="{3EF386A7-A59D-4137-BB05-3A3865359F7A}">
      <text>
        <t>[Threaded comment]
Your version of Excel allows you to read this threaded comment; however, any edits to it will get removed if the file is opened in a newer version of Excel. Learn more: https://go.microsoft.com/fwlink/?linkid=870924
Comment:
    Input price you recieved from manufacturer, distributor or supplier. IMPORTANT: Example $11.50 per box of gloves if it includes shipping you will not add shipping cost under transportation.</t>
      </text>
    </comment>
    <comment ref="F15" authorId="3" shapeId="0" xr:uid="{301C00B3-FD0A-43D0-8549-E50F20C9FAC3}">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Example 6,636 boxes.  If it's priced by pieces, put the number of pieces.  Do this for each product in the same contract.</t>
      </text>
    </comment>
    <comment ref="G15" authorId="4" shapeId="0" xr:uid="{A625527A-6279-4625-882C-5EACCD7C6A9C}">
      <text>
        <t>[Threaded comment]
Your version of Excel allows you to read this threaded comment; however, any edits to it will get removed if the file is opened in a newer version of Excel. Learn more: https://go.microsoft.com/fwlink/?linkid=870924
Comment:
    DONOT TOUCH Calculates automatically</t>
      </text>
    </comment>
    <comment ref="H15" authorId="5" shapeId="0" xr:uid="{0F10611F-136F-427C-B1A2-D9C9D1EAAC36}">
      <text>
        <t>[Threaded comment]
Your version of Excel allows you to read this threaded comment; however, any edits to it will get removed if the file is opened in a newer version of Excel. Learn more: https://go.microsoft.com/fwlink/?linkid=870924
Comment:
    Add your markup here. IMPORTANT EX. The supplier or manufactuer charged me (contractor) $11.50 per box; I added for my profit $4.45 per box. $4.45 x 6,536.</t>
      </text>
    </comment>
    <comment ref="I15" authorId="6" shapeId="0" xr:uid="{842722C9-F045-45C9-B9F4-B7895D2C47FC}">
      <text>
        <t>[Threaded comment]
Your version of Excel allows you to read this threaded comment; however, any edits to it will get removed if the file is opened in a newer version of Excel. Learn more: https://go.microsoft.com/fwlink/?linkid=870924
Comment:
    DONOT TOUCH Calculated automatically this is your profit</t>
      </text>
    </comment>
    <comment ref="F16" authorId="7" shapeId="0" xr:uid="{04469596-F450-470C-8F7E-5747565A4548}">
      <text>
        <t>[Threaded comment]
Your version of Excel allows you to read this threaded comment; however, any edits to it will get removed if the file is opened in a newer version of Excel. Learn more: https://go.microsoft.com/fwlink/?linkid=870924
Comment:
    Input the number of items you are selling to the government based on the contract. Ex. 6,636 boxes of gloves.</t>
      </text>
    </comment>
    <comment ref="I27" authorId="8" shapeId="0" xr:uid="{C8F9AD75-1188-4A93-91B5-D6EA2F5A6119}">
      <text>
        <t>[Threaded comment]
Your version of Excel allows you to read this threaded comment; however, any edits to it will get removed if the file is opened in a newer version of Excel. Learn more: https://go.microsoft.com/fwlink/?linkid=870924
Comment:
    Profit</t>
      </text>
    </comment>
    <comment ref="J27" authorId="9" shapeId="0" xr:uid="{373F66A6-619A-4B31-8860-D74B31E801EB}">
      <text>
        <t>[Threaded comment]
Your version of Excel allows you to read this threaded comment; however, any edits to it will get removed if the file is opened in a newer version of Excel. Learn more: https://go.microsoft.com/fwlink/?linkid=870924
Comment:
    Contract costs to the government</t>
      </text>
    </comment>
    <comment ref="E31" authorId="10" shapeId="0" xr:uid="{23CA09AA-8001-4E62-80FF-6AB80D23A2CD}">
      <text>
        <t>[Threaded comment]
Your version of Excel allows you to read this threaded comment; however, any edits to it will get removed if the file is opened in a newer version of Excel. Learn more: https://go.microsoft.com/fwlink/?linkid=870924
Comment:
    Input the rate per hour for your employee or administrator.  You can also NOT charge for an Administor employee to be competitive.</t>
      </text>
    </comment>
    <comment ref="F31" authorId="11" shapeId="0" xr:uid="{3321506F-1642-4307-A3F6-846D5F0C5896}">
      <text>
        <t>[Threaded comment]
Your version of Excel allows you to read this threaded comment; however, any edits to it will get removed if the file is opened in a newer version of Excel. Learn more: https://go.microsoft.com/fwlink/?linkid=870924
Comment:
    # of Hours you estimate the employee will work on this contract.</t>
      </text>
    </comment>
    <comment ref="G31" authorId="12" shapeId="0" xr:uid="{6A9C189B-3146-4858-9549-51D45849C23D}">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31" authorId="13" shapeId="0" xr:uid="{448DAEED-D223-4409-B1E9-339F0EE78600}">
      <text>
        <t>[Threaded comment]
Your version of Excel allows you to read this threaded comment; however, any edits to it will get removed if the file is opened in a newer version of Excel. Learn more: https://go.microsoft.com/fwlink/?linkid=870924
Comment:
    Add your markup to the employee's rate here or leave it blank at $0.00 for no markup.  If you markup the employee's rate it will calculate in the total employee (administrator's) cost.  It will also show in your profit.</t>
      </text>
    </comment>
    <comment ref="I31" authorId="14" shapeId="0" xr:uid="{7C754D57-61CF-4297-9E6B-8E13E9F2DA5E}">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31" authorId="15" shapeId="0" xr:uid="{6EB03BAB-E08F-479F-B032-C6C893B14FDE}">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E42" authorId="16" shapeId="0" xr:uid="{705F2F17-777B-482C-823C-643151913801}">
      <text>
        <t>[Threaded comment]
Your version of Excel allows you to read this threaded comment; however, any edits to it will get removed if the file is opened in a newer version of Excel. Learn more: https://go.microsoft.com/fwlink/?linkid=870924
Comment:
    IMPORTANT: Only input hours here if the subcontractor charges you by the hour.  If they give you one price but no hourly,  INPUT "0" OR LEAVE THIS COLUMN BLANK and use the rate column only.</t>
      </text>
    </comment>
    <comment ref="F42" authorId="17" shapeId="0" xr:uid="{0DDC4B06-69DF-4EF8-A2E0-D9CFEBF700C0}">
      <text>
        <t>[Threaded comment]
Your version of Excel allows you to read this threaded comment; however, any edits to it will get removed if the file is opened in a newer version of Excel. Learn more: https://go.microsoft.com/fwlink/?linkid=870924
Comment:
    IMPORTANT: Input the rate ONLY if you have the number of hours for the job. EXAMPLE 10 hours @ $40.00. IF you only have the total cost, just put in the TOTAL PRICE| COST.  DO NOT include the number of hours if you have just the total price.</t>
      </text>
    </comment>
    <comment ref="G42" authorId="18" shapeId="0" xr:uid="{5AED2CB4-382D-47B4-9CA7-7F5726BE4040}">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H42" authorId="19" shapeId="0" xr:uid="{5ED386B8-67EC-40EA-A5E4-9D63312DC8C6}">
      <text>
        <t>[Threaded comment]
Your version of Excel allows you to read this threaded comment; however, any edits to it will get removed if the file is opened in a newer version of Excel. Learn more: https://go.microsoft.com/fwlink/?linkid=870924
Comment:
    Input any additional subcontractor costs or leave at "$0.00.</t>
      </text>
    </comment>
    <comment ref="I42" authorId="20" shapeId="0" xr:uid="{89542097-6B59-4432-88E2-BA171BD0C3FA}">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42" authorId="21" shapeId="0" xr:uid="{D1FF3178-4179-4F89-844D-B3A37FA738AA}">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A51" authorId="22" shapeId="0" xr:uid="{7F1B779B-2FDB-4154-A86C-E793C742B089}">
      <text>
        <t>[Threaded comment]
Your version of Excel allows you to read this threaded comment; however, any edits to it will get removed if the file is opened in a newer version of Excel. Learn more: https://go.microsoft.com/fwlink/?linkid=870924
Comment:
    All support services go here</t>
      </text>
    </comment>
    <comment ref="H52" authorId="23" shapeId="0" xr:uid="{400D53F5-E4E7-49EE-B216-51FBDCBA081C}">
      <text>
        <t>[Threaded comment]
Your version of Excel allows you to read this threaded comment; however, any edits to it will get removed if the file is opened in a newer version of Excel. Learn more: https://go.microsoft.com/fwlink/?linkid=870924
Comment:
    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
      </text>
    </comment>
    <comment ref="I52" authorId="24" shapeId="0" xr:uid="{0987B5EA-F298-4E79-9433-30D53BE7F4F3}">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52" authorId="25" shapeId="0" xr:uid="{5F529167-C6E7-4614-B183-C40917D8D0F7}">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I62" authorId="26" shapeId="0" xr:uid="{CA3F47CE-9191-42FA-8965-1E0B829A756A}">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 ref="J62" authorId="27" shapeId="0" xr:uid="{C0A87855-3A95-41AA-A4D4-4584E319442E}">
      <text>
        <t>[Threaded comment]
Your version of Excel allows you to read this threaded comment; however, any edits to it will get removed if the file is opened in a newer version of Excel. Learn more: https://go.microsoft.com/fwlink/?linkid=870924
Comment:
    DONOT TOUCH Auto Calculated</t>
      </text>
    </comment>
  </commentList>
</comments>
</file>

<file path=xl/sharedStrings.xml><?xml version="1.0" encoding="utf-8"?>
<sst xmlns="http://schemas.openxmlformats.org/spreadsheetml/2006/main" count="682" uniqueCount="109">
  <si>
    <t>Solicitation #:</t>
  </si>
  <si>
    <t>Company Name:</t>
  </si>
  <si>
    <t>Agency Name:</t>
  </si>
  <si>
    <t>Estimated Contract Profit:</t>
  </si>
  <si>
    <t>SUBCONTRACT LABOR</t>
  </si>
  <si>
    <t xml:space="preserve">Company </t>
  </si>
  <si>
    <t>Employee Title</t>
  </si>
  <si>
    <t>Submit Due Date:</t>
  </si>
  <si>
    <t>TOTAL</t>
  </si>
  <si>
    <t>Total</t>
  </si>
  <si>
    <t xml:space="preserve">Subcontract Company </t>
  </si>
  <si>
    <t xml:space="preserve">TOTAL </t>
  </si>
  <si>
    <t>Job Peformance Description</t>
  </si>
  <si>
    <t>Insurance Company</t>
  </si>
  <si>
    <t>Sample Company Used</t>
  </si>
  <si>
    <t>Service Title</t>
  </si>
  <si>
    <t>Insurance Policy</t>
  </si>
  <si>
    <t>Service Description</t>
  </si>
  <si>
    <t>Site Visit</t>
  </si>
  <si>
    <t>From City</t>
  </si>
  <si>
    <t>To City</t>
  </si>
  <si>
    <t>Travel Date</t>
  </si>
  <si>
    <t>Airfare</t>
  </si>
  <si>
    <t>Meals</t>
  </si>
  <si>
    <t>Chicago</t>
  </si>
  <si>
    <t>Total Contract Price:</t>
  </si>
  <si>
    <t>Contract Base Period</t>
  </si>
  <si>
    <t>Place Company Name Here</t>
  </si>
  <si>
    <t>Place Agency Name Here</t>
  </si>
  <si>
    <t>Place Solicitation Name Here</t>
  </si>
  <si>
    <t>Place Submit Due Date Here</t>
  </si>
  <si>
    <t>Contract Bid Pricing Summary</t>
  </si>
  <si>
    <t>Company Markup</t>
  </si>
  <si>
    <t>Service Total</t>
  </si>
  <si>
    <t xml:space="preserve"> </t>
  </si>
  <si>
    <t>Billable Total</t>
  </si>
  <si>
    <t>Subcontractor</t>
  </si>
  <si>
    <t>Location</t>
  </si>
  <si>
    <t>Additional Liability Insurance</t>
  </si>
  <si>
    <t>PRODUCT | SUPPLIES | MATERIALS</t>
  </si>
  <si>
    <t>Company Name</t>
  </si>
  <si>
    <t>Delivery Location</t>
  </si>
  <si>
    <t>Product Price</t>
  </si>
  <si>
    <t># Items</t>
  </si>
  <si>
    <t>Total Cost</t>
  </si>
  <si>
    <t>Gov't Site</t>
  </si>
  <si>
    <t>Employee Name</t>
  </si>
  <si>
    <t>Rate per Hour</t>
  </si>
  <si>
    <t># Hours</t>
  </si>
  <si>
    <t>Total Rate</t>
  </si>
  <si>
    <t>Markup TTl</t>
  </si>
  <si>
    <t>PRODUCT BID PRICING TEMPLATE</t>
  </si>
  <si>
    <t>PROFESSIONAL SERVICES &amp; OTHER COSTS</t>
  </si>
  <si>
    <t>COMPANY CONTRACT ADMINISTRATIVE LABOR</t>
  </si>
  <si>
    <t>TRAVEL SITE VISITS</t>
  </si>
  <si>
    <t>Solicitation Name:</t>
  </si>
  <si>
    <t>Place Solicitationl Name Here</t>
  </si>
  <si>
    <t>Contract Purpose:</t>
  </si>
  <si>
    <t>Product Company</t>
  </si>
  <si>
    <t>Part Number or NSN</t>
  </si>
  <si>
    <t>Product Name</t>
  </si>
  <si>
    <t>Product Name &amp; Product Number Here</t>
  </si>
  <si>
    <t>Product Name 1</t>
  </si>
  <si>
    <t>Product Name 2</t>
  </si>
  <si>
    <t>Product Name 3</t>
  </si>
  <si>
    <t>Part Number or NSN 1</t>
  </si>
  <si>
    <t>Part Number or NSN 2</t>
  </si>
  <si>
    <t>Part Number or NSN 3</t>
  </si>
  <si>
    <t>Mary Anderson</t>
  </si>
  <si>
    <t>Contract Administrator</t>
  </si>
  <si>
    <t>Ship Right</t>
  </si>
  <si>
    <t>Packaging, Pallets &amp; Labeling</t>
  </si>
  <si>
    <t>San Diego</t>
  </si>
  <si>
    <t>Per Hour</t>
  </si>
  <si>
    <t>Add'l Cost</t>
  </si>
  <si>
    <t>Required Y/N</t>
  </si>
  <si>
    <t>Y</t>
  </si>
  <si>
    <t>Company Type</t>
  </si>
  <si>
    <t>Business Insurance</t>
  </si>
  <si>
    <t>Copyright (c) Fed Biz Exchange 2022</t>
  </si>
  <si>
    <t>Reason</t>
  </si>
  <si>
    <t xml:space="preserve">Chicago, IL </t>
  </si>
  <si>
    <t>Atlanta, Georgia</t>
  </si>
  <si>
    <t>Hotel | Meetings</t>
  </si>
  <si>
    <t xml:space="preserve">Sub Labor Total </t>
  </si>
  <si>
    <t>Product Total</t>
  </si>
  <si>
    <t>Admin Labor Total</t>
  </si>
  <si>
    <t>Travel Total</t>
  </si>
  <si>
    <t>Name</t>
  </si>
  <si>
    <t>Rate Markup</t>
  </si>
  <si>
    <t>Rate | Cost</t>
  </si>
  <si>
    <t>**Save a copy of this Template for reuse to calculate pricing for every bid solicitation offer**</t>
  </si>
  <si>
    <r>
      <t xml:space="preserve">Instructions:  </t>
    </r>
    <r>
      <rPr>
        <i/>
        <sz val="11"/>
        <color theme="1"/>
        <rFont val="Calibri"/>
        <family val="2"/>
        <scheme val="minor"/>
      </rPr>
      <t>Complete ONLY cells that require you to input information. Hightlight cell titles for guidance. DONOT TOUCH cells that say "DONOT TOUCH AUTO CALCULATED. The green totals are your profit, the yellow totals is your bid pricing.</t>
    </r>
  </si>
  <si>
    <t>Calculate your "Bid Pricing" to Win the Contract &amp; Make a "Profit"</t>
  </si>
  <si>
    <t>Manfucter | Distributor</t>
  </si>
  <si>
    <r>
      <t xml:space="preserve">Instructions:  </t>
    </r>
    <r>
      <rPr>
        <i/>
        <sz val="11"/>
        <color theme="1"/>
        <rFont val="Calibri"/>
        <family val="2"/>
        <scheme val="minor"/>
      </rPr>
      <t>Complete ONLY cells that require you to input information. Hightlight cell titles for guidance. DONOT TOUCH cells AUTO CALCULATED. The green totals are your profit, the yellow totals are your bid pricing.</t>
    </r>
  </si>
  <si>
    <t>**Save a copy of this Template calculate pricing for every bid offer**</t>
  </si>
  <si>
    <t>Tim Supplier</t>
  </si>
  <si>
    <t>Nitrile Gloves</t>
  </si>
  <si>
    <t>American Gloves</t>
  </si>
  <si>
    <t>City State</t>
  </si>
  <si>
    <t>Y or N</t>
  </si>
  <si>
    <t>From City &amp; State</t>
  </si>
  <si>
    <t>To City &amp; State</t>
  </si>
  <si>
    <t>Option Year 4</t>
  </si>
  <si>
    <t>Base Option</t>
  </si>
  <si>
    <t>Option Year 1</t>
  </si>
  <si>
    <t>Option Year 2</t>
  </si>
  <si>
    <t>Option Year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</si>
</sst>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8" formatCode="&quot;$&quot;#,##0.00_);[Red]\(&quot;$&quot;#,##0.00\)"/>
    <numFmt numFmtId="164" formatCode="&quot;$&quot;#,##0.00"/>
  </numFmts>
  <fonts count="17"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2"/>
      <color theme="1"/>
      <name val="Calibri"/>
      <family val="2"/>
      <scheme val="minor"/>
    </font>
    <font>
      <sz val="10"/>
      <name val="Arial"/>
      <family val="2"/>
    </font>
    <font>
      <sz val="11"/>
      <name val="Calibri"/>
      <family val="2"/>
      <scheme val="minor"/>
    </font>
    <font>
      <b/>
      <i/>
      <sz val="11"/>
      <color theme="1"/>
      <name val="Calibri"/>
      <family val="2"/>
      <scheme val="minor"/>
    </font>
    <font>
      <i/>
      <sz val="11"/>
      <color theme="1"/>
      <name val="Calibri"/>
      <family val="2"/>
      <scheme val="minor"/>
    </font>
    <font>
      <sz val="10"/>
      <color theme="1"/>
      <name val="Calibri"/>
      <family val="2"/>
      <scheme val="minor"/>
    </font>
    <font>
      <b/>
      <sz val="18"/>
      <color theme="1"/>
      <name val="Calibri"/>
      <family val="2"/>
      <scheme val="minor"/>
    </font>
    <font>
      <b/>
      <i/>
      <sz val="12"/>
      <color rgb="FFC00000"/>
      <name val="Calibri"/>
      <family val="2"/>
      <scheme val="minor"/>
    </font>
    <font>
      <b/>
      <i/>
      <sz val="18"/>
      <color theme="1"/>
      <name val="Calibri"/>
      <family val="2"/>
      <scheme val="minor"/>
    </font>
    <font>
      <b/>
      <sz val="16"/>
      <color rgb="FFC00000"/>
      <name val="Calibri"/>
      <family val="2"/>
      <scheme val="minor"/>
    </font>
    <font>
      <b/>
      <sz val="26"/>
      <color theme="0"/>
      <name val="Calibri"/>
      <family val="2"/>
      <scheme val="minor"/>
    </font>
    <font>
      <b/>
      <i/>
      <sz val="11"/>
      <color rgb="FFC00000"/>
      <name val="Calibri"/>
      <family val="2"/>
      <scheme val="minor"/>
    </font>
    <font>
      <sz val="12"/>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39997558519241921"/>
        <bgColor indexed="64"/>
      </patternFill>
    </fill>
  </fills>
  <borders count="9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rgb="FFC00000"/>
      </left>
      <right style="medium">
        <color rgb="FFC00000"/>
      </right>
      <top style="medium">
        <color rgb="FFC00000"/>
      </top>
      <bottom style="thin">
        <color indexed="64"/>
      </bottom>
      <diagonal/>
    </border>
    <border>
      <left style="medium">
        <color rgb="FFC00000"/>
      </left>
      <right style="medium">
        <color rgb="FFC00000"/>
      </right>
      <top style="thin">
        <color indexed="64"/>
      </top>
      <bottom style="thin">
        <color indexed="64"/>
      </bottom>
      <diagonal/>
    </border>
    <border>
      <left style="medium">
        <color rgb="FFC00000"/>
      </left>
      <right style="medium">
        <color rgb="FFC00000"/>
      </right>
      <top style="thin">
        <color indexed="64"/>
      </top>
      <bottom style="medium">
        <color rgb="FFC00000"/>
      </bottom>
      <diagonal/>
    </border>
    <border>
      <left/>
      <right/>
      <top style="thin">
        <color indexed="64"/>
      </top>
      <bottom style="medium">
        <color rgb="FFC00000"/>
      </bottom>
      <diagonal/>
    </border>
    <border>
      <left style="thin">
        <color indexed="64"/>
      </left>
      <right/>
      <top/>
      <bottom style="thin">
        <color indexed="64"/>
      </bottom>
      <diagonal/>
    </border>
    <border>
      <left style="medium">
        <color rgb="FFC00000"/>
      </left>
      <right style="medium">
        <color rgb="FFC00000"/>
      </right>
      <top style="medium">
        <color rgb="FFC00000"/>
      </top>
      <bottom style="thin">
        <color theme="1"/>
      </bottom>
      <diagonal/>
    </border>
    <border>
      <left style="medium">
        <color rgb="FFC00000"/>
      </left>
      <right style="medium">
        <color rgb="FFC00000"/>
      </right>
      <top style="thin">
        <color theme="1"/>
      </top>
      <bottom style="thin">
        <color theme="1"/>
      </bottom>
      <diagonal/>
    </border>
    <border>
      <left style="medium">
        <color rgb="FFC00000"/>
      </left>
      <right style="medium">
        <color rgb="FFC00000"/>
      </right>
      <top style="thin">
        <color theme="1"/>
      </top>
      <bottom style="medium">
        <color rgb="FFC00000"/>
      </bottom>
      <diagonal/>
    </border>
    <border>
      <left style="thin">
        <color auto="1"/>
      </left>
      <right/>
      <top style="thin">
        <color auto="1"/>
      </top>
      <bottom/>
      <diagonal/>
    </border>
    <border>
      <left/>
      <right/>
      <top/>
      <bottom style="thin">
        <color auto="1"/>
      </bottom>
      <diagonal/>
    </border>
    <border>
      <left/>
      <right style="thin">
        <color auto="1"/>
      </right>
      <top/>
      <bottom style="thin">
        <color auto="1"/>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style="medium">
        <color theme="9" tint="-0.24994659260841701"/>
      </left>
      <right/>
      <top/>
      <bottom style="medium">
        <color theme="9" tint="-0.24994659260841701"/>
      </bottom>
      <diagonal/>
    </border>
    <border>
      <left style="medium">
        <color rgb="FFC00000"/>
      </left>
      <right style="thin">
        <color auto="1"/>
      </right>
      <top style="medium">
        <color rgb="FFC00000"/>
      </top>
      <bottom style="thin">
        <color auto="1"/>
      </bottom>
      <diagonal/>
    </border>
    <border>
      <left style="thin">
        <color auto="1"/>
      </left>
      <right style="medium">
        <color rgb="FFC00000"/>
      </right>
      <top style="medium">
        <color rgb="FFC00000"/>
      </top>
      <bottom style="thin">
        <color auto="1"/>
      </bottom>
      <diagonal/>
    </border>
    <border>
      <left style="medium">
        <color rgb="FFC00000"/>
      </left>
      <right style="thin">
        <color auto="1"/>
      </right>
      <top style="thin">
        <color auto="1"/>
      </top>
      <bottom style="thin">
        <color auto="1"/>
      </bottom>
      <diagonal/>
    </border>
    <border>
      <left style="thin">
        <color auto="1"/>
      </left>
      <right style="medium">
        <color rgb="FFC00000"/>
      </right>
      <top style="thin">
        <color auto="1"/>
      </top>
      <bottom style="thin">
        <color auto="1"/>
      </bottom>
      <diagonal/>
    </border>
    <border>
      <left style="medium">
        <color rgb="FFC00000"/>
      </left>
      <right style="thin">
        <color auto="1"/>
      </right>
      <top style="thin">
        <color auto="1"/>
      </top>
      <bottom style="medium">
        <color rgb="FFC00000"/>
      </bottom>
      <diagonal/>
    </border>
    <border>
      <left style="thin">
        <color auto="1"/>
      </left>
      <right style="medium">
        <color rgb="FFC00000"/>
      </right>
      <top style="thin">
        <color auto="1"/>
      </top>
      <bottom style="medium">
        <color rgb="FFC00000"/>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medium">
        <color theme="9" tint="-0.499984740745262"/>
      </right>
      <top style="thin">
        <color theme="1"/>
      </top>
      <bottom style="medium">
        <color theme="9" tint="-0.499984740745262"/>
      </bottom>
      <diagonal/>
    </border>
    <border>
      <left style="medium">
        <color rgb="FFC00000"/>
      </left>
      <right/>
      <top style="medium">
        <color rgb="FFC00000"/>
      </top>
      <bottom style="thin">
        <color theme="1"/>
      </bottom>
      <diagonal/>
    </border>
    <border>
      <left/>
      <right style="medium">
        <color rgb="FFC00000"/>
      </right>
      <top style="medium">
        <color rgb="FFC00000"/>
      </top>
      <bottom style="thin">
        <color theme="1"/>
      </bottom>
      <diagonal/>
    </border>
    <border>
      <left style="thin">
        <color theme="1"/>
      </left>
      <right style="thin">
        <color rgb="FFC00000"/>
      </right>
      <top style="thin">
        <color theme="1"/>
      </top>
      <bottom style="thin">
        <color theme="1"/>
      </bottom>
      <diagonal/>
    </border>
    <border>
      <left style="thin">
        <color rgb="FFC00000"/>
      </left>
      <right style="thin">
        <color theme="1"/>
      </right>
      <top style="thin">
        <color theme="1"/>
      </top>
      <bottom style="thin">
        <color theme="1"/>
      </bottom>
      <diagonal/>
    </border>
    <border>
      <left/>
      <right style="medium">
        <color rgb="FFC00000"/>
      </right>
      <top style="thin">
        <color theme="1"/>
      </top>
      <bottom style="thin">
        <color theme="1"/>
      </bottom>
      <diagonal/>
    </border>
    <border>
      <left style="medium">
        <color rgb="FFC00000"/>
      </left>
      <right/>
      <top style="thin">
        <color theme="1"/>
      </top>
      <bottom style="thin">
        <color theme="1"/>
      </bottom>
      <diagonal/>
    </border>
    <border>
      <left style="medium">
        <color rgb="FFC00000"/>
      </left>
      <right/>
      <top style="thin">
        <color theme="1"/>
      </top>
      <bottom style="medium">
        <color rgb="FFC00000"/>
      </bottom>
      <diagonal/>
    </border>
    <border>
      <left/>
      <right style="medium">
        <color rgb="FFC00000"/>
      </right>
      <top style="thin">
        <color theme="1"/>
      </top>
      <bottom style="medium">
        <color rgb="FFC00000"/>
      </bottom>
      <diagonal/>
    </border>
    <border>
      <left style="thin">
        <color theme="1"/>
      </left>
      <right style="thin">
        <color theme="1"/>
      </right>
      <top style="thin">
        <color theme="1"/>
      </top>
      <bottom/>
      <diagonal/>
    </border>
    <border>
      <left style="thin">
        <color theme="1"/>
      </left>
      <right/>
      <top style="medium">
        <color rgb="FFC00000"/>
      </top>
      <bottom style="thin">
        <color theme="1"/>
      </bottom>
      <diagonal/>
    </border>
    <border>
      <left style="thin">
        <color theme="1"/>
      </left>
      <right style="thin">
        <color theme="1"/>
      </right>
      <top/>
      <bottom style="thin">
        <color theme="1"/>
      </bottom>
      <diagonal/>
    </border>
    <border>
      <left style="thin">
        <color theme="1"/>
      </left>
      <right style="thin">
        <color rgb="FFC00000"/>
      </right>
      <top/>
      <bottom style="thin">
        <color theme="1"/>
      </bottom>
      <diagonal/>
    </border>
    <border>
      <left style="thin">
        <color rgb="FFC00000"/>
      </left>
      <right style="thin">
        <color theme="1"/>
      </right>
      <top/>
      <bottom style="thin">
        <color theme="1"/>
      </bottom>
      <diagonal/>
    </border>
    <border>
      <left style="thin">
        <color theme="1"/>
      </left>
      <right style="thin">
        <color rgb="FFC00000"/>
      </right>
      <top style="thin">
        <color theme="1"/>
      </top>
      <bottom/>
      <diagonal/>
    </border>
    <border>
      <left style="thin">
        <color rgb="FFC00000"/>
      </left>
      <right style="thin">
        <color theme="1"/>
      </right>
      <top style="thin">
        <color theme="1"/>
      </top>
      <bottom/>
      <diagonal/>
    </border>
    <border>
      <left style="thin">
        <color theme="1"/>
      </left>
      <right style="thin">
        <color rgb="FFC00000"/>
      </right>
      <top/>
      <bottom/>
      <diagonal/>
    </border>
    <border>
      <left style="thin">
        <color rgb="FFC00000"/>
      </left>
      <right style="thin">
        <color theme="1"/>
      </right>
      <top/>
      <bottom/>
      <diagonal/>
    </border>
    <border>
      <left style="thin">
        <color indexed="64"/>
      </left>
      <right style="thin">
        <color indexed="64"/>
      </right>
      <top style="thin">
        <color indexed="64"/>
      </top>
      <bottom style="medium">
        <color rgb="FFC00000"/>
      </bottom>
      <diagonal/>
    </border>
    <border>
      <left style="medium">
        <color rgb="FFC00000"/>
      </left>
      <right style="thin">
        <color theme="1"/>
      </right>
      <top style="medium">
        <color rgb="FFC00000"/>
      </top>
      <bottom style="thin">
        <color theme="1"/>
      </bottom>
      <diagonal/>
    </border>
    <border>
      <left style="thin">
        <color theme="1"/>
      </left>
      <right style="thin">
        <color theme="1"/>
      </right>
      <top style="medium">
        <color rgb="FFC00000"/>
      </top>
      <bottom style="thin">
        <color theme="1"/>
      </bottom>
      <diagonal/>
    </border>
    <border>
      <left style="thin">
        <color theme="1"/>
      </left>
      <right style="medium">
        <color rgb="FFC00000"/>
      </right>
      <top style="medium">
        <color rgb="FFC00000"/>
      </top>
      <bottom style="thin">
        <color theme="1"/>
      </bottom>
      <diagonal/>
    </border>
    <border>
      <left style="medium">
        <color rgb="FFC00000"/>
      </left>
      <right style="thin">
        <color theme="1"/>
      </right>
      <top style="thin">
        <color theme="1"/>
      </top>
      <bottom style="thin">
        <color theme="1"/>
      </bottom>
      <diagonal/>
    </border>
    <border>
      <left style="thin">
        <color theme="1"/>
      </left>
      <right style="medium">
        <color rgb="FFC00000"/>
      </right>
      <top style="thin">
        <color theme="1"/>
      </top>
      <bottom style="thin">
        <color theme="1"/>
      </bottom>
      <diagonal/>
    </border>
    <border>
      <left/>
      <right/>
      <top style="thin">
        <color theme="1"/>
      </top>
      <bottom style="medium">
        <color rgb="FFC00000"/>
      </bottom>
      <diagonal/>
    </border>
    <border>
      <left/>
      <right/>
      <top style="medium">
        <color rgb="FFC00000"/>
      </top>
      <bottom style="thin">
        <color theme="1"/>
      </bottom>
      <diagonal/>
    </border>
    <border>
      <left style="medium">
        <color rgb="FFC00000"/>
      </left>
      <right/>
      <top/>
      <bottom style="medium">
        <color rgb="FFC00000"/>
      </bottom>
      <diagonal/>
    </border>
    <border>
      <left/>
      <right/>
      <top/>
      <bottom style="medium">
        <color rgb="FFC00000"/>
      </bottom>
      <diagonal/>
    </border>
    <border>
      <left style="medium">
        <color rgb="FFC00000"/>
      </left>
      <right style="medium">
        <color rgb="FFC00000"/>
      </right>
      <top style="thin">
        <color indexed="64"/>
      </top>
      <bottom/>
      <diagonal/>
    </border>
    <border>
      <left style="medium">
        <color theme="9" tint="-0.499984740745262"/>
      </left>
      <right/>
      <top style="medium">
        <color theme="9" tint="-0.499984740745262"/>
      </top>
      <bottom style="thin">
        <color indexed="64"/>
      </bottom>
      <diagonal/>
    </border>
    <border>
      <left style="medium">
        <color theme="9" tint="-0.499984740745262"/>
      </left>
      <right/>
      <top style="thin">
        <color indexed="64"/>
      </top>
      <bottom style="thin">
        <color indexed="64"/>
      </bottom>
      <diagonal/>
    </border>
    <border>
      <left/>
      <right style="medium">
        <color theme="9" tint="-0.499984740745262"/>
      </right>
      <top style="thin">
        <color indexed="64"/>
      </top>
      <bottom style="medium">
        <color theme="9" tint="-0.499984740745262"/>
      </bottom>
      <diagonal/>
    </border>
    <border>
      <left style="medium">
        <color rgb="FFC00000"/>
      </left>
      <right style="medium">
        <color rgb="FFC00000"/>
      </right>
      <top style="thin">
        <color theme="9" tint="-0.499984740745262"/>
      </top>
      <bottom style="medium">
        <color rgb="FFC00000"/>
      </bottom>
      <diagonal/>
    </border>
    <border>
      <left/>
      <right style="medium">
        <color rgb="FFC00000"/>
      </right>
      <top style="thin">
        <color auto="1"/>
      </top>
      <bottom style="thin">
        <color auto="1"/>
      </bottom>
      <diagonal/>
    </border>
    <border>
      <left/>
      <right/>
      <top style="thin">
        <color theme="1"/>
      </top>
      <bottom/>
      <diagonal/>
    </border>
    <border>
      <left style="thin">
        <color indexed="64"/>
      </left>
      <right/>
      <top style="thin">
        <color indexed="64"/>
      </top>
      <bottom style="medium">
        <color rgb="FFC00000"/>
      </bottom>
      <diagonal/>
    </border>
    <border>
      <left style="thin">
        <color auto="1"/>
      </left>
      <right style="medium">
        <color rgb="FFC00000"/>
      </right>
      <top/>
      <bottom style="thin">
        <color auto="1"/>
      </bottom>
      <diagonal/>
    </border>
    <border>
      <left style="medium">
        <color rgb="FFC00000"/>
      </left>
      <right style="medium">
        <color theme="9" tint="-0.499984740745262"/>
      </right>
      <top style="medium">
        <color rgb="FFC00000"/>
      </top>
      <bottom style="thin">
        <color theme="1"/>
      </bottom>
      <diagonal/>
    </border>
    <border>
      <left style="medium">
        <color rgb="FFC00000"/>
      </left>
      <right style="medium">
        <color theme="9" tint="-0.499984740745262"/>
      </right>
      <top style="thin">
        <color theme="1"/>
      </top>
      <bottom style="thin">
        <color theme="1"/>
      </bottom>
      <diagonal/>
    </border>
    <border>
      <left style="medium">
        <color rgb="FFC00000"/>
      </left>
      <right style="medium">
        <color theme="9" tint="-0.499984740745262"/>
      </right>
      <top style="thin">
        <color theme="1"/>
      </top>
      <bottom style="thin">
        <color indexed="64"/>
      </bottom>
      <diagonal/>
    </border>
    <border>
      <left style="medium">
        <color rgb="FFC00000"/>
      </left>
      <right style="medium">
        <color theme="9" tint="-0.499984740745262"/>
      </right>
      <top style="thin">
        <color auto="1"/>
      </top>
      <bottom style="thin">
        <color auto="1"/>
      </bottom>
      <diagonal/>
    </border>
    <border>
      <left style="medium">
        <color rgb="FFC00000"/>
      </left>
      <right style="medium">
        <color rgb="FFC00000"/>
      </right>
      <top style="thin">
        <color auto="1"/>
      </top>
      <bottom style="thin">
        <color theme="9" tint="-0.499984740745262"/>
      </bottom>
      <diagonal/>
    </border>
    <border>
      <left style="medium">
        <color theme="9" tint="-0.499984740745262"/>
      </left>
      <right style="medium">
        <color rgb="FFC00000"/>
      </right>
      <top style="medium">
        <color theme="9" tint="-0.499984740745262"/>
      </top>
      <bottom style="thin">
        <color indexed="64"/>
      </bottom>
      <diagonal/>
    </border>
    <border>
      <left style="medium">
        <color theme="9" tint="-0.499984740745262"/>
      </left>
      <right style="medium">
        <color rgb="FFC00000"/>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rgb="FFC00000"/>
      </bottom>
      <diagonal/>
    </border>
    <border>
      <left/>
      <right style="thin">
        <color theme="1"/>
      </right>
      <top style="medium">
        <color rgb="FFC00000"/>
      </top>
      <bottom style="thin">
        <color theme="1"/>
      </bottom>
      <diagonal/>
    </border>
    <border>
      <left style="medium">
        <color rgb="FFC00000"/>
      </left>
      <right style="medium">
        <color theme="9" tint="-0.499984740745262"/>
      </right>
      <top style="medium">
        <color theme="9" tint="-0.499984740745262"/>
      </top>
      <bottom style="thin">
        <color indexed="64"/>
      </bottom>
      <diagonal/>
    </border>
    <border>
      <left/>
      <right style="medium">
        <color rgb="FFC00000"/>
      </right>
      <top style="thin">
        <color auto="1"/>
      </top>
      <bottom style="medium">
        <color rgb="FFC00000"/>
      </bottom>
      <diagonal/>
    </border>
    <border>
      <left style="thin">
        <color auto="1"/>
      </left>
      <right style="thin">
        <color theme="1"/>
      </right>
      <top style="medium">
        <color rgb="FFC00000"/>
      </top>
      <bottom style="thin">
        <color auto="1"/>
      </bottom>
      <diagonal/>
    </border>
    <border>
      <left style="thin">
        <color auto="1"/>
      </left>
      <right style="thin">
        <color theme="1"/>
      </right>
      <top style="thin">
        <color auto="1"/>
      </top>
      <bottom style="thin">
        <color auto="1"/>
      </bottom>
      <diagonal/>
    </border>
    <border>
      <left/>
      <right style="medium">
        <color auto="1"/>
      </right>
      <top/>
      <bottom/>
      <diagonal/>
    </border>
    <border>
      <left style="medium">
        <color rgb="FFC00000"/>
      </left>
      <right style="thin">
        <color auto="1"/>
      </right>
      <top style="medium">
        <color theme="9" tint="-0.499984740745262"/>
      </top>
      <bottom style="thin">
        <color theme="1"/>
      </bottom>
      <diagonal/>
    </border>
    <border>
      <left style="medium">
        <color rgb="FFC00000"/>
      </left>
      <right style="thin">
        <color auto="1"/>
      </right>
      <top style="thin">
        <color theme="1"/>
      </top>
      <bottom style="medium">
        <color theme="9" tint="-0.499984740745262"/>
      </bottom>
      <diagonal/>
    </border>
    <border>
      <left style="medium">
        <color rgb="FFC00000"/>
      </left>
      <right style="medium">
        <color rgb="FFC00000"/>
      </right>
      <top/>
      <bottom style="medium">
        <color rgb="FFC00000"/>
      </bottom>
      <diagonal/>
    </border>
    <border>
      <left style="medium">
        <color rgb="FFC00000"/>
      </left>
      <right style="thin">
        <color auto="1"/>
      </right>
      <top style="medium">
        <color theme="9" tint="-0.499984740745262"/>
      </top>
      <bottom style="thin">
        <color auto="1"/>
      </bottom>
      <diagonal/>
    </border>
    <border>
      <left style="medium">
        <color theme="9" tint="-0.499984740745262"/>
      </left>
      <right/>
      <top style="thin">
        <color auto="1"/>
      </top>
      <bottom style="thin">
        <color theme="1"/>
      </bottom>
      <diagonal/>
    </border>
    <border>
      <left style="medium">
        <color rgb="FFC00000"/>
      </left>
      <right style="thin">
        <color theme="1"/>
      </right>
      <top style="medium">
        <color rgb="FFC00000"/>
      </top>
      <bottom style="thin">
        <color auto="1"/>
      </bottom>
      <diagonal/>
    </border>
    <border>
      <left style="thin">
        <color theme="1"/>
      </left>
      <right style="medium">
        <color rgb="FFC00000"/>
      </right>
      <top style="medium">
        <color rgb="FFC00000"/>
      </top>
      <bottom style="thin">
        <color auto="1"/>
      </bottom>
      <diagonal/>
    </border>
    <border>
      <left style="medium">
        <color rgb="FFC00000"/>
      </left>
      <right style="thin">
        <color theme="1"/>
      </right>
      <top style="thin">
        <color auto="1"/>
      </top>
      <bottom style="thin">
        <color auto="1"/>
      </bottom>
      <diagonal/>
    </border>
    <border>
      <left style="thin">
        <color theme="1"/>
      </left>
      <right style="medium">
        <color rgb="FFC00000"/>
      </right>
      <top style="thin">
        <color auto="1"/>
      </top>
      <bottom style="thin">
        <color auto="1"/>
      </bottom>
      <diagonal/>
    </border>
    <border>
      <left style="medium">
        <color rgb="FFC00000"/>
      </left>
      <right style="thin">
        <color theme="1"/>
      </right>
      <top style="thin">
        <color auto="1"/>
      </top>
      <bottom style="thin">
        <color theme="1"/>
      </bottom>
      <diagonal/>
    </border>
    <border>
      <left style="thin">
        <color theme="1"/>
      </left>
      <right style="medium">
        <color rgb="FFC00000"/>
      </right>
      <top style="thin">
        <color auto="1"/>
      </top>
      <bottom style="thin">
        <color theme="1"/>
      </bottom>
      <diagonal/>
    </border>
    <border>
      <left/>
      <right style="medium">
        <color rgb="FFC00000"/>
      </right>
      <top/>
      <bottom style="medium">
        <color rgb="FFC00000"/>
      </bottom>
      <diagonal/>
    </border>
    <border>
      <left/>
      <right style="thin">
        <color theme="1"/>
      </right>
      <top/>
      <bottom style="medium">
        <color rgb="FFC00000"/>
      </bottom>
      <diagonal/>
    </border>
    <border>
      <left style="thin">
        <color theme="1"/>
      </left>
      <right/>
      <top/>
      <bottom/>
      <diagonal/>
    </border>
    <border>
      <left style="medium">
        <color rgb="FFC00000"/>
      </left>
      <right style="thin">
        <color auto="1"/>
      </right>
      <top/>
      <bottom style="thin">
        <color theme="1"/>
      </bottom>
      <diagonal/>
    </border>
  </borders>
  <cellStyleXfs count="2">
    <xf numFmtId="0" fontId="0" fillId="0" borderId="0"/>
    <xf numFmtId="0" fontId="5" fillId="0" borderId="0"/>
  </cellStyleXfs>
  <cellXfs count="253">
    <xf numFmtId="0" fontId="0" fillId="0" borderId="0" xfId="0"/>
    <xf numFmtId="0" fontId="2" fillId="0" borderId="0" xfId="0" applyFont="1"/>
    <xf numFmtId="0" fontId="3" fillId="2" borderId="0" xfId="0" applyFont="1" applyFill="1"/>
    <xf numFmtId="0" fontId="3" fillId="0" borderId="0" xfId="0" applyFont="1"/>
    <xf numFmtId="0" fontId="0" fillId="0" borderId="1" xfId="0" applyBorder="1"/>
    <xf numFmtId="0" fontId="2" fillId="0" borderId="0" xfId="0" applyFont="1" applyBorder="1" applyAlignment="1"/>
    <xf numFmtId="0" fontId="0" fillId="0" borderId="0" xfId="0" applyBorder="1"/>
    <xf numFmtId="3" fontId="0" fillId="0" borderId="7" xfId="0" applyNumberFormat="1" applyBorder="1"/>
    <xf numFmtId="0" fontId="0" fillId="0" borderId="8" xfId="0" applyBorder="1"/>
    <xf numFmtId="8" fontId="0" fillId="0" borderId="5" xfId="0" applyNumberFormat="1" applyBorder="1"/>
    <xf numFmtId="8" fontId="0" fillId="0" borderId="9" xfId="0" applyNumberFormat="1" applyBorder="1"/>
    <xf numFmtId="8" fontId="0" fillId="0" borderId="11" xfId="0" applyNumberFormat="1" applyBorder="1"/>
    <xf numFmtId="8" fontId="0" fillId="0" borderId="12" xfId="0" applyNumberFormat="1" applyBorder="1"/>
    <xf numFmtId="0" fontId="2" fillId="3" borderId="3" xfId="0" applyFont="1" applyFill="1" applyBorder="1"/>
    <xf numFmtId="0" fontId="2" fillId="3" borderId="14" xfId="0" applyFont="1" applyFill="1" applyBorder="1"/>
    <xf numFmtId="0" fontId="0" fillId="0" borderId="24" xfId="0" applyBorder="1"/>
    <xf numFmtId="0" fontId="0" fillId="0" borderId="26" xfId="0" applyBorder="1"/>
    <xf numFmtId="0" fontId="0" fillId="0" borderId="17" xfId="0" applyBorder="1"/>
    <xf numFmtId="0" fontId="0" fillId="0" borderId="11" xfId="0" applyBorder="1"/>
    <xf numFmtId="0" fontId="0" fillId="0" borderId="12" xfId="0" applyBorder="1"/>
    <xf numFmtId="0" fontId="2" fillId="0" borderId="13" xfId="0" applyFont="1" applyBorder="1"/>
    <xf numFmtId="3" fontId="2" fillId="0" borderId="2" xfId="0" applyNumberFormat="1" applyFont="1" applyFill="1" applyBorder="1"/>
    <xf numFmtId="8" fontId="2" fillId="0" borderId="10" xfId="0" applyNumberFormat="1" applyFont="1" applyFill="1" applyBorder="1"/>
    <xf numFmtId="0" fontId="1" fillId="2" borderId="19" xfId="0" applyFont="1" applyFill="1" applyBorder="1" applyAlignment="1">
      <alignment horizontal="center"/>
    </xf>
    <xf numFmtId="0" fontId="4" fillId="7" borderId="13" xfId="0" applyFont="1" applyFill="1" applyBorder="1" applyAlignment="1">
      <alignment horizontal="center"/>
    </xf>
    <xf numFmtId="8" fontId="0" fillId="0" borderId="42" xfId="0" applyNumberFormat="1" applyBorder="1"/>
    <xf numFmtId="0" fontId="0" fillId="0" borderId="42" xfId="0" applyBorder="1"/>
    <xf numFmtId="8" fontId="0" fillId="0" borderId="32" xfId="0" applyNumberFormat="1" applyBorder="1"/>
    <xf numFmtId="8" fontId="0" fillId="0" borderId="37" xfId="0" applyNumberFormat="1" applyBorder="1"/>
    <xf numFmtId="0" fontId="0" fillId="0" borderId="20" xfId="0" applyBorder="1"/>
    <xf numFmtId="0" fontId="3" fillId="2" borderId="0" xfId="0" applyFont="1" applyFill="1" applyAlignment="1"/>
    <xf numFmtId="0" fontId="0" fillId="0" borderId="0" xfId="0" applyFill="1" applyBorder="1" applyAlignment="1"/>
    <xf numFmtId="8" fontId="2" fillId="0" borderId="0" xfId="0" applyNumberFormat="1" applyFont="1" applyFill="1" applyBorder="1" applyAlignment="1"/>
    <xf numFmtId="8" fontId="2" fillId="0" borderId="21" xfId="0" applyNumberFormat="1" applyFont="1" applyFill="1" applyBorder="1" applyProtection="1">
      <protection locked="0"/>
    </xf>
    <xf numFmtId="0" fontId="2" fillId="0" borderId="0" xfId="0" applyFont="1" applyFill="1" applyBorder="1"/>
    <xf numFmtId="0" fontId="4" fillId="0" borderId="0" xfId="0" applyFont="1" applyFill="1" applyAlignment="1"/>
    <xf numFmtId="0" fontId="3" fillId="0" borderId="0" xfId="0" applyFont="1" applyFill="1"/>
    <xf numFmtId="0" fontId="1" fillId="2" borderId="18" xfId="0" applyFont="1" applyFill="1" applyBorder="1" applyAlignment="1">
      <alignment horizontal="center"/>
    </xf>
    <xf numFmtId="0" fontId="1" fillId="2" borderId="40" xfId="0" applyFont="1" applyFill="1" applyBorder="1" applyAlignment="1">
      <alignment horizontal="center"/>
    </xf>
    <xf numFmtId="0" fontId="1" fillId="0" borderId="0" xfId="0" applyFont="1" applyFill="1" applyAlignment="1">
      <alignment horizontal="center"/>
    </xf>
    <xf numFmtId="0" fontId="1" fillId="0" borderId="0" xfId="0" applyFont="1" applyAlignment="1">
      <alignment horizontal="center"/>
    </xf>
    <xf numFmtId="8" fontId="2" fillId="0" borderId="29" xfId="0" applyNumberFormat="1" applyFont="1" applyFill="1" applyBorder="1" applyProtection="1">
      <protection locked="0"/>
    </xf>
    <xf numFmtId="8" fontId="0" fillId="0" borderId="29" xfId="0" applyNumberFormat="1" applyFill="1" applyBorder="1" applyProtection="1">
      <protection locked="0"/>
    </xf>
    <xf numFmtId="0" fontId="0" fillId="0" borderId="25" xfId="0" applyBorder="1"/>
    <xf numFmtId="0" fontId="0" fillId="0" borderId="49" xfId="0" applyBorder="1"/>
    <xf numFmtId="0" fontId="0" fillId="0" borderId="27" xfId="0" applyBorder="1"/>
    <xf numFmtId="0" fontId="0" fillId="0" borderId="50" xfId="0" applyBorder="1"/>
    <xf numFmtId="0" fontId="0" fillId="0" borderId="51" xfId="0" applyBorder="1"/>
    <xf numFmtId="0" fontId="0" fillId="0" borderId="52" xfId="0" applyBorder="1"/>
    <xf numFmtId="0" fontId="0" fillId="0" borderId="53" xfId="0" applyBorder="1"/>
    <xf numFmtId="0" fontId="0" fillId="0" borderId="54" xfId="0" applyBorder="1"/>
    <xf numFmtId="0" fontId="6" fillId="0" borderId="22" xfId="1" applyFont="1" applyBorder="1" applyAlignment="1">
      <alignment vertical="center"/>
    </xf>
    <xf numFmtId="0" fontId="6" fillId="0" borderId="24" xfId="1" applyFont="1" applyBorder="1" applyAlignment="1">
      <alignment vertical="center"/>
    </xf>
    <xf numFmtId="14" fontId="0" fillId="0" borderId="51" xfId="0" applyNumberFormat="1" applyBorder="1"/>
    <xf numFmtId="8" fontId="2" fillId="0" borderId="0" xfId="0" applyNumberFormat="1" applyFont="1" applyFill="1" applyBorder="1" applyAlignment="1" applyProtection="1">
      <protection locked="0"/>
    </xf>
    <xf numFmtId="0" fontId="2" fillId="0" borderId="0" xfId="0" applyFont="1" applyFill="1" applyBorder="1" applyAlignment="1" applyProtection="1">
      <protection locked="0"/>
    </xf>
    <xf numFmtId="0" fontId="0" fillId="0" borderId="0" xfId="0" applyFill="1"/>
    <xf numFmtId="0" fontId="0" fillId="0" borderId="61" xfId="0" applyFill="1" applyBorder="1" applyProtection="1">
      <protection locked="0"/>
    </xf>
    <xf numFmtId="0" fontId="0" fillId="0" borderId="63" xfId="0" applyBorder="1"/>
    <xf numFmtId="8" fontId="2" fillId="10" borderId="31" xfId="0" applyNumberFormat="1" applyFont="1" applyFill="1" applyBorder="1" applyProtection="1">
      <protection locked="0"/>
    </xf>
    <xf numFmtId="8" fontId="2" fillId="11" borderId="62" xfId="0" applyNumberFormat="1" applyFont="1" applyFill="1" applyBorder="1" applyProtection="1">
      <protection locked="0"/>
    </xf>
    <xf numFmtId="0" fontId="2" fillId="6" borderId="10" xfId="0" applyFont="1" applyFill="1" applyBorder="1"/>
    <xf numFmtId="0" fontId="2" fillId="8" borderId="3" xfId="0" applyFont="1" applyFill="1" applyBorder="1"/>
    <xf numFmtId="3" fontId="0" fillId="0" borderId="0" xfId="0" applyNumberFormat="1"/>
    <xf numFmtId="0" fontId="9" fillId="0" borderId="0" xfId="0" applyFont="1"/>
    <xf numFmtId="0" fontId="0" fillId="0" borderId="4" xfId="0" applyBorder="1"/>
    <xf numFmtId="0" fontId="0" fillId="0" borderId="66" xfId="0" applyBorder="1"/>
    <xf numFmtId="0" fontId="0" fillId="0" borderId="0" xfId="0" applyBorder="1" applyAlignment="1">
      <alignment horizontal="center"/>
    </xf>
    <xf numFmtId="0" fontId="2" fillId="0" borderId="0" xfId="0" applyFont="1" applyFill="1" applyBorder="1" applyAlignment="1">
      <alignment horizontal="center"/>
    </xf>
    <xf numFmtId="8" fontId="0" fillId="0" borderId="64" xfId="0" applyNumberFormat="1" applyBorder="1"/>
    <xf numFmtId="8" fontId="0" fillId="0" borderId="25" xfId="0" applyNumberFormat="1" applyBorder="1"/>
    <xf numFmtId="0" fontId="2" fillId="0" borderId="0" xfId="0" applyFont="1" applyFill="1" applyBorder="1" applyAlignment="1"/>
    <xf numFmtId="3" fontId="2" fillId="0" borderId="0" xfId="0" applyNumberFormat="1" applyFont="1" applyFill="1" applyBorder="1"/>
    <xf numFmtId="8" fontId="2" fillId="0" borderId="0" xfId="0" applyNumberFormat="1" applyFont="1" applyFill="1" applyBorder="1"/>
    <xf numFmtId="8" fontId="2" fillId="0" borderId="0" xfId="0" applyNumberFormat="1" applyFont="1" applyFill="1" applyBorder="1" applyProtection="1">
      <protection locked="0"/>
    </xf>
    <xf numFmtId="0" fontId="2" fillId="0" borderId="1" xfId="0" applyFont="1" applyFill="1" applyBorder="1" applyAlignment="1"/>
    <xf numFmtId="8" fontId="2" fillId="0" borderId="1" xfId="0" applyNumberFormat="1" applyFont="1" applyFill="1" applyBorder="1" applyProtection="1">
      <protection locked="0"/>
    </xf>
    <xf numFmtId="0" fontId="3" fillId="2" borderId="0" xfId="0" applyFont="1" applyFill="1" applyBorder="1" applyAlignment="1">
      <alignment horizontal="center"/>
    </xf>
    <xf numFmtId="3" fontId="3" fillId="2" borderId="0" xfId="0" applyNumberFormat="1" applyFont="1" applyFill="1" applyBorder="1" applyAlignment="1">
      <alignment horizontal="center"/>
    </xf>
    <xf numFmtId="8" fontId="3" fillId="2" borderId="0" xfId="0" applyNumberFormat="1" applyFont="1" applyFill="1" applyBorder="1" applyAlignment="1">
      <alignment horizontal="center"/>
    </xf>
    <xf numFmtId="8" fontId="3" fillId="2" borderId="0" xfId="0" applyNumberFormat="1" applyFont="1" applyFill="1" applyBorder="1" applyAlignment="1" applyProtection="1">
      <alignment horizontal="center"/>
      <protection locked="0"/>
    </xf>
    <xf numFmtId="0" fontId="0" fillId="0" borderId="28" xfId="0" applyBorder="1" applyAlignment="1"/>
    <xf numFmtId="0" fontId="0" fillId="0" borderId="29" xfId="0" applyBorder="1" applyAlignment="1"/>
    <xf numFmtId="0" fontId="2" fillId="0" borderId="10" xfId="0" applyFont="1" applyFill="1" applyBorder="1" applyAlignment="1"/>
    <xf numFmtId="0" fontId="2" fillId="0" borderId="15" xfId="0" applyFont="1" applyFill="1" applyBorder="1" applyAlignment="1"/>
    <xf numFmtId="0" fontId="2" fillId="0" borderId="16" xfId="0" applyFont="1" applyFill="1" applyBorder="1" applyAlignment="1"/>
    <xf numFmtId="0" fontId="2" fillId="0" borderId="38" xfId="0" applyFont="1" applyBorder="1" applyAlignment="1"/>
    <xf numFmtId="0" fontId="2" fillId="0" borderId="55" xfId="0" applyFont="1" applyBorder="1" applyAlignment="1"/>
    <xf numFmtId="0" fontId="2" fillId="0" borderId="39" xfId="0" applyFont="1" applyBorder="1" applyAlignment="1"/>
    <xf numFmtId="0" fontId="2" fillId="9" borderId="28" xfId="0" applyFont="1" applyFill="1" applyBorder="1" applyAlignment="1">
      <alignment horizontal="center"/>
    </xf>
    <xf numFmtId="0" fontId="2" fillId="0" borderId="57" xfId="0" applyFont="1" applyBorder="1" applyAlignment="1"/>
    <xf numFmtId="0" fontId="0" fillId="0" borderId="0" xfId="0" applyAlignment="1">
      <alignment horizontal="center"/>
    </xf>
    <xf numFmtId="0" fontId="0" fillId="5" borderId="45" xfId="0" applyFill="1" applyBorder="1" applyAlignment="1"/>
    <xf numFmtId="0" fontId="0" fillId="5" borderId="46" xfId="0" applyFill="1" applyBorder="1" applyAlignment="1"/>
    <xf numFmtId="0" fontId="0" fillId="5" borderId="47" xfId="0" applyFill="1" applyBorder="1" applyAlignment="1"/>
    <xf numFmtId="0" fontId="0" fillId="5" borderId="48" xfId="0" applyFill="1" applyBorder="1" applyAlignment="1"/>
    <xf numFmtId="0" fontId="0" fillId="5" borderId="43" xfId="0" applyFill="1" applyBorder="1" applyAlignment="1"/>
    <xf numFmtId="0" fontId="0" fillId="5" borderId="44" xfId="0" applyFill="1" applyBorder="1" applyAlignment="1"/>
    <xf numFmtId="0" fontId="1" fillId="2" borderId="0" xfId="0" applyFont="1" applyFill="1" applyAlignment="1">
      <alignment horizontal="center"/>
    </xf>
    <xf numFmtId="0" fontId="0" fillId="0" borderId="41" xfId="0" applyBorder="1" applyAlignment="1"/>
    <xf numFmtId="0" fontId="0" fillId="0" borderId="56" xfId="0" applyBorder="1" applyAlignment="1"/>
    <xf numFmtId="0" fontId="2" fillId="9" borderId="29" xfId="0" applyFont="1" applyFill="1" applyBorder="1" applyAlignment="1">
      <alignment horizontal="center"/>
    </xf>
    <xf numFmtId="0" fontId="10" fillId="0" borderId="0" xfId="0" applyFont="1" applyAlignment="1">
      <alignment horizontal="center"/>
    </xf>
    <xf numFmtId="0" fontId="3" fillId="2" borderId="0" xfId="0" applyFont="1" applyFill="1" applyProtection="1">
      <protection locked="0"/>
    </xf>
    <xf numFmtId="8" fontId="0" fillId="0" borderId="67" xfId="0" applyNumberFormat="1" applyBorder="1"/>
    <xf numFmtId="3" fontId="0" fillId="0" borderId="6" xfId="0" applyNumberFormat="1" applyFont="1" applyBorder="1"/>
    <xf numFmtId="3" fontId="0" fillId="0" borderId="7" xfId="0" applyNumberFormat="1" applyFont="1" applyBorder="1"/>
    <xf numFmtId="3" fontId="0" fillId="0" borderId="59" xfId="0" applyNumberFormat="1" applyFont="1" applyBorder="1"/>
    <xf numFmtId="8" fontId="0" fillId="0" borderId="68" xfId="0" applyNumberFormat="1" applyBorder="1"/>
    <xf numFmtId="8" fontId="0" fillId="0" borderId="69" xfId="0" applyNumberFormat="1" applyBorder="1"/>
    <xf numFmtId="8" fontId="0" fillId="0" borderId="70" xfId="0" applyNumberFormat="1" applyBorder="1"/>
    <xf numFmtId="8" fontId="0" fillId="0" borderId="71" xfId="0" applyNumberFormat="1" applyBorder="1"/>
    <xf numFmtId="8" fontId="0" fillId="0" borderId="6" xfId="0" applyNumberFormat="1" applyBorder="1"/>
    <xf numFmtId="8" fontId="0" fillId="0" borderId="7" xfId="0" applyNumberFormat="1" applyBorder="1"/>
    <xf numFmtId="8" fontId="0" fillId="0" borderId="72" xfId="0" applyNumberFormat="1" applyBorder="1"/>
    <xf numFmtId="8" fontId="0" fillId="0" borderId="73" xfId="0" applyNumberFormat="1" applyFill="1" applyBorder="1" applyProtection="1">
      <protection locked="0"/>
    </xf>
    <xf numFmtId="8" fontId="0" fillId="0" borderId="74" xfId="0" applyNumberFormat="1" applyFill="1" applyBorder="1" applyProtection="1">
      <protection locked="0"/>
    </xf>
    <xf numFmtId="0" fontId="0" fillId="0" borderId="75" xfId="0" applyBorder="1"/>
    <xf numFmtId="0" fontId="0" fillId="0" borderId="76" xfId="0" applyBorder="1"/>
    <xf numFmtId="0" fontId="0" fillId="0" borderId="77" xfId="0" applyBorder="1"/>
    <xf numFmtId="0" fontId="0" fillId="0" borderId="30" xfId="0" applyBorder="1"/>
    <xf numFmtId="0" fontId="2" fillId="0" borderId="58" xfId="0" applyFont="1" applyBorder="1" applyAlignment="1"/>
    <xf numFmtId="8" fontId="2" fillId="10" borderId="1" xfId="0" applyNumberFormat="1" applyFont="1" applyFill="1" applyBorder="1" applyProtection="1">
      <protection locked="0"/>
    </xf>
    <xf numFmtId="8" fontId="0" fillId="0" borderId="78" xfId="0" applyNumberFormat="1" applyFill="1" applyBorder="1" applyProtection="1">
      <protection locked="0"/>
    </xf>
    <xf numFmtId="8" fontId="0" fillId="0" borderId="71" xfId="0" applyNumberFormat="1" applyFill="1" applyBorder="1" applyProtection="1">
      <protection locked="0"/>
    </xf>
    <xf numFmtId="0" fontId="2" fillId="0" borderId="4" xfId="0" applyFont="1" applyFill="1" applyBorder="1" applyAlignment="1"/>
    <xf numFmtId="8" fontId="2" fillId="0" borderId="75" xfId="0" applyNumberFormat="1" applyFont="1" applyFill="1" applyBorder="1" applyProtection="1">
      <protection locked="0"/>
    </xf>
    <xf numFmtId="7" fontId="2" fillId="0" borderId="22" xfId="0" applyNumberFormat="1" applyFont="1" applyFill="1" applyBorder="1"/>
    <xf numFmtId="0" fontId="2" fillId="0" borderId="23" xfId="0" applyNumberFormat="1" applyFont="1" applyFill="1" applyBorder="1"/>
    <xf numFmtId="7" fontId="2" fillId="0" borderId="24" xfId="0" applyNumberFormat="1" applyFont="1" applyFill="1" applyBorder="1"/>
    <xf numFmtId="0" fontId="2" fillId="0" borderId="25" xfId="0" applyNumberFormat="1" applyFont="1" applyFill="1" applyBorder="1"/>
    <xf numFmtId="3" fontId="2" fillId="0" borderId="26" xfId="0" applyNumberFormat="1" applyFont="1" applyFill="1" applyBorder="1"/>
    <xf numFmtId="8" fontId="2" fillId="0" borderId="27" xfId="0" applyNumberFormat="1" applyFont="1" applyFill="1" applyBorder="1"/>
    <xf numFmtId="8" fontId="2" fillId="0" borderId="5" xfId="0" applyNumberFormat="1" applyFont="1" applyFill="1" applyBorder="1" applyProtection="1">
      <protection locked="0"/>
    </xf>
    <xf numFmtId="8" fontId="2" fillId="11" borderId="75" xfId="0" applyNumberFormat="1" applyFont="1" applyFill="1" applyBorder="1" applyProtection="1">
      <protection locked="0"/>
    </xf>
    <xf numFmtId="7" fontId="0" fillId="0" borderId="6" xfId="0" applyNumberFormat="1" applyBorder="1"/>
    <xf numFmtId="7" fontId="0" fillId="0" borderId="7" xfId="0" applyNumberFormat="1" applyBorder="1"/>
    <xf numFmtId="0" fontId="2" fillId="0" borderId="66" xfId="0" applyFont="1" applyFill="1" applyBorder="1" applyAlignment="1">
      <alignment horizontal="left"/>
    </xf>
    <xf numFmtId="0" fontId="2" fillId="0" borderId="9" xfId="0" applyFont="1" applyFill="1" applyBorder="1" applyAlignment="1">
      <alignment horizontal="left"/>
    </xf>
    <xf numFmtId="0" fontId="2" fillId="0" borderId="79" xfId="0" applyFont="1" applyFill="1" applyBorder="1" applyAlignment="1">
      <alignment horizontal="left"/>
    </xf>
    <xf numFmtId="0" fontId="1" fillId="2" borderId="58" xfId="0" applyFont="1" applyFill="1" applyBorder="1" applyAlignment="1">
      <alignment horizontal="center"/>
    </xf>
    <xf numFmtId="8" fontId="2" fillId="11" borderId="13" xfId="0" applyNumberFormat="1" applyFont="1" applyFill="1" applyBorder="1"/>
    <xf numFmtId="0" fontId="6" fillId="0" borderId="80" xfId="1" applyFont="1" applyBorder="1" applyAlignment="1">
      <alignment vertical="center"/>
    </xf>
    <xf numFmtId="0" fontId="6" fillId="0" borderId="81" xfId="1" applyFont="1" applyBorder="1" applyAlignment="1">
      <alignment vertical="center"/>
    </xf>
    <xf numFmtId="0" fontId="1" fillId="2" borderId="82" xfId="0" applyFont="1" applyFill="1" applyBorder="1" applyAlignment="1">
      <alignment horizontal="center"/>
    </xf>
    <xf numFmtId="8" fontId="0" fillId="0" borderId="83" xfId="0" applyNumberFormat="1" applyFill="1" applyBorder="1" applyProtection="1">
      <protection locked="0"/>
    </xf>
    <xf numFmtId="8" fontId="2" fillId="10" borderId="84" xfId="0" applyNumberFormat="1" applyFont="1" applyFill="1" applyBorder="1" applyProtection="1">
      <protection locked="0"/>
    </xf>
    <xf numFmtId="0" fontId="4" fillId="7" borderId="32" xfId="0" applyFont="1" applyFill="1" applyBorder="1" applyAlignment="1">
      <alignment horizontal="center"/>
    </xf>
    <xf numFmtId="0" fontId="4" fillId="7" borderId="37" xfId="0" applyFont="1" applyFill="1" applyBorder="1" applyAlignment="1">
      <alignment horizontal="center"/>
    </xf>
    <xf numFmtId="0" fontId="0" fillId="0" borderId="85" xfId="0" applyFont="1" applyBorder="1" applyAlignment="1">
      <alignment horizontal="center"/>
    </xf>
    <xf numFmtId="7" fontId="0" fillId="0" borderId="1" xfId="0" applyNumberFormat="1" applyFont="1" applyBorder="1" applyAlignment="1">
      <alignment horizontal="right"/>
    </xf>
    <xf numFmtId="7" fontId="0" fillId="7" borderId="23" xfId="0" applyNumberFormat="1" applyFill="1" applyBorder="1" applyAlignment="1">
      <alignment horizontal="center"/>
    </xf>
    <xf numFmtId="7" fontId="0" fillId="7" borderId="25" xfId="0" applyNumberFormat="1" applyFill="1" applyBorder="1" applyAlignment="1">
      <alignment horizontal="center"/>
    </xf>
    <xf numFmtId="8" fontId="0" fillId="0" borderId="86" xfId="0" applyNumberFormat="1" applyFill="1" applyBorder="1" applyProtection="1">
      <protection locked="0"/>
    </xf>
    <xf numFmtId="8" fontId="0" fillId="0" borderId="24" xfId="0" applyNumberFormat="1" applyFill="1" applyBorder="1" applyProtection="1">
      <protection locked="0"/>
    </xf>
    <xf numFmtId="8" fontId="2" fillId="10" borderId="83" xfId="0" applyNumberFormat="1" applyFont="1" applyFill="1" applyBorder="1" applyProtection="1">
      <protection locked="0"/>
    </xf>
    <xf numFmtId="164" fontId="0" fillId="0" borderId="60" xfId="0" applyNumberFormat="1" applyFill="1" applyBorder="1" applyProtection="1">
      <protection locked="0"/>
    </xf>
    <xf numFmtId="164" fontId="0" fillId="0" borderId="61" xfId="0" applyNumberFormat="1" applyFill="1" applyBorder="1" applyProtection="1">
      <protection locked="0"/>
    </xf>
    <xf numFmtId="164" fontId="0" fillId="0" borderId="87" xfId="0" applyNumberFormat="1" applyFill="1" applyBorder="1" applyProtection="1">
      <protection locked="0"/>
    </xf>
    <xf numFmtId="8" fontId="2" fillId="11" borderId="17" xfId="0" applyNumberFormat="1" applyFont="1" applyFill="1" applyBorder="1"/>
    <xf numFmtId="7" fontId="2" fillId="11" borderId="39" xfId="0" applyNumberFormat="1" applyFont="1" applyFill="1" applyBorder="1" applyAlignment="1">
      <alignment horizontal="center"/>
    </xf>
    <xf numFmtId="8" fontId="2" fillId="10" borderId="17" xfId="0" applyNumberFormat="1" applyFont="1" applyFill="1" applyBorder="1"/>
    <xf numFmtId="8" fontId="0" fillId="0" borderId="88" xfId="0" applyNumberFormat="1" applyBorder="1" applyAlignment="1">
      <alignment horizontal="right"/>
    </xf>
    <xf numFmtId="8" fontId="0" fillId="0" borderId="89" xfId="0" applyNumberFormat="1" applyBorder="1"/>
    <xf numFmtId="8" fontId="0" fillId="0" borderId="90" xfId="0" applyNumberFormat="1" applyBorder="1" applyAlignment="1">
      <alignment horizontal="right"/>
    </xf>
    <xf numFmtId="8" fontId="0" fillId="0" borderId="91" xfId="0" applyNumberFormat="1" applyBorder="1"/>
    <xf numFmtId="8" fontId="0" fillId="0" borderId="92" xfId="0" applyNumberFormat="1" applyBorder="1" applyAlignment="1">
      <alignment horizontal="right"/>
    </xf>
    <xf numFmtId="8" fontId="0" fillId="0" borderId="93" xfId="0" applyNumberFormat="1" applyBorder="1"/>
    <xf numFmtId="0" fontId="2" fillId="0" borderId="28" xfId="0" applyFont="1" applyBorder="1" applyAlignment="1">
      <alignment horizontal="left"/>
    </xf>
    <xf numFmtId="0" fontId="2" fillId="0" borderId="29" xfId="0" applyFont="1" applyBorder="1" applyAlignment="1">
      <alignment horizontal="left"/>
    </xf>
    <xf numFmtId="0" fontId="2" fillId="0" borderId="30" xfId="0" applyFont="1" applyBorder="1" applyAlignment="1">
      <alignment horizontal="left"/>
    </xf>
    <xf numFmtId="0" fontId="11" fillId="0" borderId="0" xfId="0" applyFont="1" applyAlignment="1">
      <alignment horizontal="center"/>
    </xf>
    <xf numFmtId="0" fontId="7" fillId="0" borderId="0" xfId="0" applyFont="1" applyFill="1" applyBorder="1" applyAlignment="1"/>
    <xf numFmtId="0" fontId="1" fillId="2" borderId="95" xfId="0" applyFont="1" applyFill="1" applyBorder="1" applyAlignment="1">
      <alignment horizontal="center"/>
    </xf>
    <xf numFmtId="0" fontId="0" fillId="0" borderId="33" xfId="0" applyBorder="1" applyAlignment="1"/>
    <xf numFmtId="0" fontId="0" fillId="0" borderId="36" xfId="0" applyBorder="1" applyAlignment="1"/>
    <xf numFmtId="0" fontId="2" fillId="0" borderId="94" xfId="0" applyFont="1" applyBorder="1" applyAlignment="1"/>
    <xf numFmtId="0" fontId="0" fillId="0" borderId="0" xfId="0" applyAlignment="1">
      <alignment horizontal="center"/>
    </xf>
    <xf numFmtId="0" fontId="0" fillId="5" borderId="47" xfId="0" applyFill="1" applyBorder="1" applyAlignment="1"/>
    <xf numFmtId="0" fontId="0" fillId="5" borderId="48" xfId="0" applyFill="1" applyBorder="1" applyAlignment="1"/>
    <xf numFmtId="0" fontId="0" fillId="5" borderId="47" xfId="0" applyFill="1" applyBorder="1" applyAlignment="1"/>
    <xf numFmtId="0" fontId="0" fillId="5" borderId="48" xfId="0" applyFill="1" applyBorder="1" applyAlignment="1"/>
    <xf numFmtId="0" fontId="0" fillId="0" borderId="0" xfId="0" applyAlignment="1">
      <alignment horizontal="center"/>
    </xf>
    <xf numFmtId="0" fontId="1" fillId="2" borderId="0" xfId="0" applyFont="1" applyFill="1" applyAlignment="1" applyProtection="1">
      <alignment horizontal="center"/>
      <protection locked="0"/>
    </xf>
    <xf numFmtId="0" fontId="1" fillId="2" borderId="0" xfId="0" applyFont="1" applyFill="1" applyBorder="1" applyAlignment="1">
      <alignment horizontal="center"/>
    </xf>
    <xf numFmtId="3" fontId="1" fillId="2" borderId="0" xfId="0" applyNumberFormat="1" applyFont="1" applyFill="1" applyBorder="1" applyAlignment="1">
      <alignment horizontal="center"/>
    </xf>
    <xf numFmtId="8" fontId="1" fillId="2" borderId="0" xfId="0" applyNumberFormat="1" applyFont="1" applyFill="1" applyBorder="1" applyAlignment="1">
      <alignment horizontal="center"/>
    </xf>
    <xf numFmtId="8" fontId="1" fillId="2" borderId="0" xfId="0" applyNumberFormat="1" applyFont="1" applyFill="1" applyBorder="1" applyAlignment="1" applyProtection="1">
      <alignment horizontal="center"/>
      <protection locked="0"/>
    </xf>
    <xf numFmtId="0" fontId="0" fillId="0" borderId="0" xfId="0" applyFont="1" applyAlignment="1">
      <alignment horizontal="center"/>
    </xf>
    <xf numFmtId="7" fontId="0" fillId="7" borderId="67" xfId="0" applyNumberFormat="1" applyFill="1" applyBorder="1" applyAlignment="1">
      <alignment horizontal="center"/>
    </xf>
    <xf numFmtId="0" fontId="2" fillId="0" borderId="1" xfId="0" applyFont="1" applyFill="1" applyBorder="1" applyAlignment="1">
      <alignment horizontal="center"/>
    </xf>
    <xf numFmtId="0" fontId="2" fillId="0" borderId="4" xfId="0" applyFont="1" applyFill="1" applyBorder="1" applyAlignment="1">
      <alignment horizontal="center"/>
    </xf>
    <xf numFmtId="8" fontId="2" fillId="10" borderId="97" xfId="0" applyNumberFormat="1" applyFont="1" applyFill="1" applyBorder="1" applyProtection="1">
      <protection locked="0"/>
    </xf>
    <xf numFmtId="0" fontId="16" fillId="7" borderId="32" xfId="0" applyFont="1" applyFill="1" applyBorder="1" applyAlignment="1">
      <alignment horizontal="center"/>
    </xf>
    <xf numFmtId="0" fontId="14" fillId="2" borderId="0" xfId="0" applyFont="1" applyFill="1" applyAlignment="1">
      <alignment horizontal="center" vertical="center"/>
    </xf>
    <xf numFmtId="0" fontId="12" fillId="0" borderId="96" xfId="0" applyFont="1" applyBorder="1" applyAlignment="1">
      <alignment horizontal="center"/>
    </xf>
    <xf numFmtId="0" fontId="12" fillId="0" borderId="0" xfId="0" applyFont="1" applyBorder="1" applyAlignment="1">
      <alignment horizontal="center"/>
    </xf>
    <xf numFmtId="0" fontId="0" fillId="0" borderId="96" xfId="0" applyBorder="1" applyAlignment="1"/>
    <xf numFmtId="0" fontId="0" fillId="0" borderId="0" xfId="0" applyAlignment="1"/>
    <xf numFmtId="0" fontId="13" fillId="0" borderId="96" xfId="0" applyFont="1" applyFill="1" applyBorder="1" applyAlignment="1">
      <alignment horizontal="center" vertical="top"/>
    </xf>
    <xf numFmtId="0" fontId="13" fillId="0" borderId="0" xfId="0" applyFont="1" applyAlignment="1">
      <alignment horizontal="center" vertical="top"/>
    </xf>
    <xf numFmtId="0" fontId="13" fillId="0" borderId="96" xfId="0" applyFont="1" applyBorder="1" applyAlignment="1">
      <alignment horizontal="center" vertical="top"/>
    </xf>
    <xf numFmtId="0" fontId="3" fillId="2" borderId="0" xfId="0" applyFont="1" applyFill="1" applyAlignment="1">
      <alignment horizontal="center"/>
    </xf>
    <xf numFmtId="0" fontId="3" fillId="4" borderId="0" xfId="0" applyFont="1" applyFill="1" applyAlignment="1">
      <alignment horizontal="center"/>
    </xf>
    <xf numFmtId="0" fontId="0" fillId="0" borderId="28" xfId="0" applyBorder="1" applyAlignment="1">
      <alignment horizontal="center"/>
    </xf>
    <xf numFmtId="0" fontId="0" fillId="0" borderId="30" xfId="0" applyBorder="1" applyAlignment="1">
      <alignment horizontal="center"/>
    </xf>
    <xf numFmtId="8" fontId="2" fillId="8" borderId="28" xfId="0" applyNumberFormat="1" applyFont="1" applyFill="1" applyBorder="1" applyAlignment="1" applyProtection="1">
      <alignment horizontal="right"/>
      <protection locked="0"/>
    </xf>
    <xf numFmtId="8" fontId="2" fillId="8" borderId="30" xfId="0" applyNumberFormat="1" applyFont="1" applyFill="1" applyBorder="1" applyAlignment="1" applyProtection="1">
      <alignment horizontal="right"/>
      <protection locked="0"/>
    </xf>
    <xf numFmtId="0" fontId="1" fillId="2" borderId="58" xfId="0" applyFont="1" applyFill="1" applyBorder="1" applyAlignment="1">
      <alignment horizontal="center"/>
    </xf>
    <xf numFmtId="0" fontId="0" fillId="0" borderId="41" xfId="0" applyBorder="1" applyAlignment="1">
      <alignment horizontal="center"/>
    </xf>
    <xf numFmtId="0" fontId="0" fillId="0" borderId="77" xfId="0" applyBorder="1" applyAlignment="1">
      <alignment horizontal="center"/>
    </xf>
    <xf numFmtId="0" fontId="3" fillId="4" borderId="65" xfId="0" applyFont="1" applyFill="1" applyBorder="1" applyAlignment="1">
      <alignment horizontal="center"/>
    </xf>
    <xf numFmtId="8" fontId="2" fillId="6" borderId="28" xfId="0" applyNumberFormat="1" applyFont="1" applyFill="1" applyBorder="1" applyAlignment="1" applyProtection="1">
      <alignment horizontal="right"/>
      <protection locked="0"/>
    </xf>
    <xf numFmtId="8" fontId="2" fillId="6" borderId="30" xfId="0" applyNumberFormat="1" applyFont="1" applyFill="1" applyBorder="1" applyAlignment="1" applyProtection="1">
      <alignment horizontal="right"/>
      <protection locked="0"/>
    </xf>
    <xf numFmtId="0" fontId="2" fillId="0" borderId="28" xfId="0" applyFont="1" applyBorder="1" applyAlignment="1">
      <alignment horizontal="left"/>
    </xf>
    <xf numFmtId="0" fontId="2" fillId="0" borderId="29" xfId="0" applyFont="1" applyBorder="1" applyAlignment="1">
      <alignment horizontal="left"/>
    </xf>
    <xf numFmtId="0" fontId="2" fillId="0" borderId="30" xfId="0" applyFont="1" applyBorder="1" applyAlignment="1">
      <alignment horizontal="left"/>
    </xf>
    <xf numFmtId="0" fontId="2" fillId="0" borderId="38" xfId="0" applyFont="1" applyBorder="1" applyAlignment="1"/>
    <xf numFmtId="0" fontId="2" fillId="0" borderId="55" xfId="0" applyFont="1" applyBorder="1" applyAlignment="1"/>
    <xf numFmtId="0" fontId="2" fillId="0" borderId="39" xfId="0" applyFont="1" applyBorder="1" applyAlignment="1"/>
    <xf numFmtId="0" fontId="1" fillId="2" borderId="95" xfId="0" applyFont="1" applyFill="1" applyBorder="1" applyAlignment="1">
      <alignment horizontal="center"/>
    </xf>
    <xf numFmtId="0" fontId="0" fillId="0" borderId="41" xfId="0" applyBorder="1" applyAlignment="1"/>
    <xf numFmtId="0" fontId="0" fillId="0" borderId="56" xfId="0" applyBorder="1" applyAlignment="1"/>
    <xf numFmtId="0" fontId="0" fillId="0" borderId="33" xfId="0" applyBorder="1" applyAlignment="1"/>
    <xf numFmtId="0" fontId="0" fillId="0" borderId="28" xfId="0" applyBorder="1" applyAlignment="1"/>
    <xf numFmtId="0" fontId="0" fillId="0" borderId="29" xfId="0" applyBorder="1" applyAlignment="1"/>
    <xf numFmtId="0" fontId="0" fillId="0" borderId="36" xfId="0" applyBorder="1" applyAlignment="1"/>
    <xf numFmtId="0" fontId="2" fillId="0" borderId="57" xfId="0" applyFont="1" applyBorder="1" applyAlignment="1"/>
    <xf numFmtId="0" fontId="2" fillId="0" borderId="58" xfId="0" applyFont="1" applyBorder="1" applyAlignment="1"/>
    <xf numFmtId="0" fontId="2" fillId="0" borderId="94" xfId="0" applyFont="1" applyBorder="1" applyAlignment="1"/>
    <xf numFmtId="0" fontId="2" fillId="9" borderId="28" xfId="0" applyFont="1" applyFill="1" applyBorder="1" applyAlignment="1">
      <alignment horizontal="center"/>
    </xf>
    <xf numFmtId="0" fontId="2" fillId="9" borderId="29" xfId="0" applyFont="1" applyFill="1" applyBorder="1" applyAlignment="1">
      <alignment horizontal="center"/>
    </xf>
    <xf numFmtId="0" fontId="2" fillId="0" borderId="10" xfId="0" applyFont="1" applyFill="1" applyBorder="1" applyAlignment="1"/>
    <xf numFmtId="0" fontId="2" fillId="0" borderId="15" xfId="0" applyFont="1" applyFill="1" applyBorder="1" applyAlignment="1"/>
    <xf numFmtId="0" fontId="2" fillId="0" borderId="16" xfId="0" applyFont="1" applyFill="1" applyBorder="1" applyAlignment="1"/>
    <xf numFmtId="0" fontId="2" fillId="0" borderId="66" xfId="0" applyFont="1" applyFill="1" applyBorder="1" applyAlignment="1">
      <alignment horizontal="left"/>
    </xf>
    <xf numFmtId="0" fontId="2" fillId="0" borderId="9" xfId="0" applyFont="1" applyFill="1" applyBorder="1" applyAlignment="1">
      <alignment horizontal="left"/>
    </xf>
    <xf numFmtId="0" fontId="2" fillId="0" borderId="79" xfId="0" applyFont="1" applyFill="1" applyBorder="1" applyAlignment="1">
      <alignment horizontal="left"/>
    </xf>
    <xf numFmtId="0" fontId="7" fillId="0" borderId="0" xfId="0" applyFont="1" applyFill="1" applyBorder="1" applyAlignment="1"/>
    <xf numFmtId="0" fontId="0" fillId="5" borderId="45" xfId="0" applyFill="1" applyBorder="1" applyAlignment="1"/>
    <xf numFmtId="0" fontId="0" fillId="5" borderId="46" xfId="0" applyFill="1" applyBorder="1" applyAlignment="1"/>
    <xf numFmtId="0" fontId="0" fillId="5" borderId="47" xfId="0" applyFill="1" applyBorder="1" applyAlignment="1"/>
    <xf numFmtId="0" fontId="0" fillId="5" borderId="48" xfId="0" applyFill="1" applyBorder="1" applyAlignment="1"/>
    <xf numFmtId="0" fontId="0" fillId="5" borderId="43" xfId="0" applyFill="1" applyBorder="1" applyAlignment="1"/>
    <xf numFmtId="0" fontId="0" fillId="5" borderId="44" xfId="0" applyFill="1" applyBorder="1" applyAlignment="1"/>
    <xf numFmtId="8" fontId="2" fillId="8" borderId="43" xfId="0" applyNumberFormat="1" applyFont="1" applyFill="1" applyBorder="1" applyAlignment="1" applyProtection="1">
      <protection locked="0"/>
    </xf>
    <xf numFmtId="0" fontId="2" fillId="8" borderId="44" xfId="0" applyFont="1" applyFill="1" applyBorder="1" applyAlignment="1" applyProtection="1">
      <protection locked="0"/>
    </xf>
    <xf numFmtId="8" fontId="2" fillId="6" borderId="34" xfId="0" applyNumberFormat="1" applyFont="1" applyFill="1" applyBorder="1" applyAlignment="1" applyProtection="1">
      <protection locked="0"/>
    </xf>
    <xf numFmtId="0" fontId="2" fillId="6" borderId="35" xfId="0" applyFont="1" applyFill="1" applyBorder="1" applyAlignment="1" applyProtection="1">
      <protection locked="0"/>
    </xf>
    <xf numFmtId="0" fontId="11" fillId="0" borderId="0" xfId="0" applyFont="1" applyAlignment="1">
      <alignment horizontal="center"/>
    </xf>
    <xf numFmtId="0" fontId="7" fillId="0" borderId="0" xfId="0" applyFont="1" applyAlignment="1">
      <alignment horizontal="center"/>
    </xf>
    <xf numFmtId="0" fontId="10" fillId="0" borderId="0" xfId="0" applyFont="1" applyAlignment="1">
      <alignment horizontal="center"/>
    </xf>
    <xf numFmtId="0" fontId="15" fillId="0" borderId="0" xfId="0" applyFont="1" applyAlignment="1">
      <alignment horizontal="center"/>
    </xf>
  </cellXfs>
  <cellStyles count="2">
    <cellStyle name="Normal" xfId="0" builtinId="0"/>
    <cellStyle name="Normal 3" xfId="1" xr:uid="{95552739-6A5E-4E9A-BFAC-DD10ACAFBA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chelle Brown" id="{18F62257-8CCF-417D-B022-C8BD7EF0A2E7}" userId="8f35ac9ff4e64a5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 dT="2021-08-01T15:47:16.07" personId="{18F62257-8CCF-417D-B022-C8BD7EF0A2E7}" id="{579B02AA-0771-4667-9C88-564224F3A8E9}">
    <text>WARNING: Do not touch -These two rows calculated automatically.</text>
  </threadedComment>
  <threadedComment ref="B9" dT="2021-08-02T00:28:06.56" personId="{18F62257-8CCF-417D-B022-C8BD7EF0A2E7}" id="{B9D22477-BFDE-4112-92AA-44A6D4E293E1}">
    <text>WARNING: Do not touch - these two areas calculate automatically.</text>
  </threadedComment>
  <threadedComment ref="E15" dT="2021-10-23T17:27:48.74" personId="{18F62257-8CCF-417D-B022-C8BD7EF0A2E7}" id="{B50BCE51-FECA-4EE2-AC1D-F96E0D5E4B0D}">
    <text>Input price you recieved from manufacturer, distributor or supplier. IMPORTANT: Example $11.50 per box of gloves if it includes shipping you will not add shipping cost under transportation.</text>
  </threadedComment>
  <threadedComment ref="F15" dT="2021-10-23T18:36:56.32" personId="{18F62257-8CCF-417D-B022-C8BD7EF0A2E7}" id="{B6BDAAD6-020D-4068-8DB1-81943C09DB6E}">
    <text>Input the number of items you are selling to the government. Example 6,636 boxes.  If it's priced by pieces, put the number of pieces.  Do this for each product in the same contract.</text>
  </threadedComment>
  <threadedComment ref="G15" dT="2021-10-23T17:31:08.83" personId="{18F62257-8CCF-417D-B022-C8BD7EF0A2E7}" id="{6E7ABA04-5ACB-4EDE-85B9-FF6CA77B14C2}">
    <text>DONOT TOUCH Calculates automatically</text>
  </threadedComment>
  <threadedComment ref="H15" dT="2021-10-23T17:32:51.97" personId="{18F62257-8CCF-417D-B022-C8BD7EF0A2E7}" id="{33F8BBD2-8B31-45D1-9E68-68EF0DA09929}">
    <text>Add your markup here. IMPORTANT EX. The supplier or manufactuer charged me (contractor) $11.50 per box; I added for my profit $4.45 per box. $4.45 x 6,536.</text>
  </threadedComment>
  <threadedComment ref="I15" dT="2021-10-23T17:33:55.51" personId="{18F62257-8CCF-417D-B022-C8BD7EF0A2E7}" id="{46000A28-7151-4A1E-AC17-18E0AB3A5655}">
    <text>DONOT TOUCH Calculated automatically this is your profit</text>
  </threadedComment>
  <threadedComment ref="F16" dT="2021-10-23T17:28:47.63" personId="{18F62257-8CCF-417D-B022-C8BD7EF0A2E7}" id="{9F58F4EA-7E8E-46DD-A600-579CEA7237E5}">
    <text>Input the number of items you are selling to the government based on the contract. Ex. 6,636 boxes of gloves.</text>
  </threadedComment>
  <threadedComment ref="I27" dT="2021-10-23T17:34:09.14" personId="{18F62257-8CCF-417D-B022-C8BD7EF0A2E7}" id="{BE352C28-9BF6-4536-A1D3-D056C6497BCC}">
    <text>Profit</text>
  </threadedComment>
  <threadedComment ref="J27" dT="2021-10-23T17:34:39.82" personId="{18F62257-8CCF-417D-B022-C8BD7EF0A2E7}" id="{C1E36DA2-9594-4447-9D41-DAAA728837E9}">
    <text>Contract costs to the government</text>
  </threadedComment>
  <threadedComment ref="E31" dT="2021-10-23T17:39:10.22" personId="{18F62257-8CCF-417D-B022-C8BD7EF0A2E7}" id="{62962DAC-6D08-47BA-B90B-EEC3299EC9A6}">
    <text>Input the rate per hour for your employee or administrator.  You can also NOT charge for an Administor employee to be competitive.</text>
  </threadedComment>
  <threadedComment ref="F31" dT="2021-10-23T17:39:37.44" personId="{18F62257-8CCF-417D-B022-C8BD7EF0A2E7}" id="{3F94BF9D-1716-42F0-B311-C750A55F0E29}">
    <text># of Hours you estimate the employee will work on this contract.</text>
  </threadedComment>
  <threadedComment ref="G31" dT="2021-10-23T17:40:17.77" personId="{18F62257-8CCF-417D-B022-C8BD7EF0A2E7}" id="{49033BEE-03BC-44E0-822F-7D998BBCB244}">
    <text>DONOT TOUCH Auto Calculated</text>
  </threadedComment>
  <threadedComment ref="H31" dT="2021-10-23T17:42:03.50" personId="{18F62257-8CCF-417D-B022-C8BD7EF0A2E7}" id="{67CA83C8-1D6C-45C7-B80B-6C8F22919268}">
    <text>Add your markup to the employee's rate here or leave it blank at $0.00 for no markup.  If you markup the employee's rate it will calculate in the total employee (administrator's) cost.  It will also show in your profit.</text>
  </threadedComment>
  <threadedComment ref="I31" dT="2021-10-23T17:42:32.50" personId="{18F62257-8CCF-417D-B022-C8BD7EF0A2E7}" id="{90DFA156-5F1C-4D3C-95F8-445A44521927}">
    <text>DONOT TOUCH Auto Calculated</text>
  </threadedComment>
  <threadedComment ref="J31" dT="2021-10-23T17:42:55.37" personId="{18F62257-8CCF-417D-B022-C8BD7EF0A2E7}" id="{BA414CB7-B5B7-415B-B972-A1E1E24F325F}">
    <text>DONOT TOUCH Auto Calculated</text>
  </threadedComment>
  <threadedComment ref="E42" dT="2021-10-23T17:44:35.57" personId="{18F62257-8CCF-417D-B022-C8BD7EF0A2E7}" id="{8CFFF49B-4A77-489E-BAC2-6F62B993699C}">
    <text>IMPORTANT: Only input hours here if the subcontractor charges you by the hour.  If they give you one price but no hourly,  INPUT "0" OR LEAVE THIS COLUMN BLANK and use the rate column only.</text>
  </threadedComment>
  <threadedComment ref="F42" dT="2021-10-23T17:49:43.65" personId="{18F62257-8CCF-417D-B022-C8BD7EF0A2E7}" id="{0FBBEBA8-B8E4-43DB-82CA-849330351FF6}">
    <text>IMPORTANT: Input the rate ONLY if you have the number of hours for the job. EXAMPLE 10 hours @ $40.00. IF you only have the total cost, just put in the TOTAL PRICE| COST.  DO NOT include the number of hours if you have just the total price.</text>
  </threadedComment>
  <threadedComment ref="G42" dT="2021-10-23T17:50:07.59" personId="{18F62257-8CCF-417D-B022-C8BD7EF0A2E7}" id="{D8B0985A-724A-456F-890D-FB51B75D8281}">
    <text>DONOT TOUCH Auto Calculated</text>
  </threadedComment>
  <threadedComment ref="H42" dT="2021-10-23T17:50:50.62" personId="{18F62257-8CCF-417D-B022-C8BD7EF0A2E7}" id="{EB0A7CB1-F19B-45E3-AFF4-A968249F3B69}">
    <text>Input any additional subcontractor costs or leave at "$0.00.</text>
  </threadedComment>
  <threadedComment ref="I42" dT="2021-10-23T17:51:13.60" personId="{18F62257-8CCF-417D-B022-C8BD7EF0A2E7}" id="{190CFED0-64E5-48B5-BC4D-FF4C92563148}">
    <text>DONOT TOUCH Auto Calculated</text>
  </threadedComment>
  <threadedComment ref="J42" dT="2021-10-23T17:51:34.80" personId="{18F62257-8CCF-417D-B022-C8BD7EF0A2E7}" id="{145D91E4-5230-4039-8469-5FE6BD319BBA}">
    <text>DONOT TOUCH Auto Calculated</text>
  </threadedComment>
  <threadedComment ref="A51" dT="2021-10-23T17:52:15.09" personId="{18F62257-8CCF-417D-B022-C8BD7EF0A2E7}" id="{5519DD13-DAB2-449B-AE94-5EAA50D2A6B7}">
    <text>All support services go here</text>
  </threadedComment>
  <threadedComment ref="H52" dT="2021-10-23T17:57:45.81" personId="{18F62257-8CCF-417D-B022-C8BD7EF0A2E7}" id="{04954536-C09F-4082-ADFD-18A16A2DFD8B}">
    <text>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ext>
  </threadedComment>
  <threadedComment ref="I52" dT="2021-10-23T18:00:55.47" personId="{18F62257-8CCF-417D-B022-C8BD7EF0A2E7}" id="{D9F7F1AF-48A7-4AE9-B81B-D2F533567932}">
    <text>DONOT TOUCH Auto Calculated</text>
  </threadedComment>
  <threadedComment ref="J52" dT="2021-10-23T18:01:14.28" personId="{18F62257-8CCF-417D-B022-C8BD7EF0A2E7}" id="{ADC3CDF1-B92B-4D60-AA2D-763562AB7066}">
    <text>DONOT TOUCH Auto Calculated</text>
  </threadedComment>
  <threadedComment ref="I62" dT="2021-10-23T18:01:52.36" personId="{18F62257-8CCF-417D-B022-C8BD7EF0A2E7}" id="{0405EE93-6F83-4FF5-9750-85B285E50D2A}">
    <text>DONOT TOUCH Auto Calculated</text>
  </threadedComment>
  <threadedComment ref="J62" dT="2021-10-23T18:02:10.85" personId="{18F62257-8CCF-417D-B022-C8BD7EF0A2E7}" id="{FED1E162-9F0E-4221-976F-96FB42379165}">
    <text>DONOT TOUCH Auto Calculated</text>
  </threadedComment>
</ThreadedComments>
</file>

<file path=xl/threadedComments/threadedComment2.xml><?xml version="1.0" encoding="utf-8"?>
<ThreadedComments xmlns="http://schemas.microsoft.com/office/spreadsheetml/2018/threadedcomments" xmlns:x="http://schemas.openxmlformats.org/spreadsheetml/2006/main">
  <threadedComment ref="B8" dT="2021-08-01T15:47:16.07" personId="{18F62257-8CCF-417D-B022-C8BD7EF0A2E7}" id="{8F5FC73C-32CC-4264-8CDE-025FAD7CE2FC}">
    <text>WARNING: Do not touch -These two rows calculated automatically.</text>
  </threadedComment>
  <threadedComment ref="B9" dT="2021-08-02T00:28:06.56" personId="{18F62257-8CCF-417D-B022-C8BD7EF0A2E7}" id="{E176CC4D-6252-44BD-9EB0-F538B20D8C5C}">
    <text>WARNING: Do not touch - these two areas calculate automatically.</text>
  </threadedComment>
  <threadedComment ref="E15" dT="2021-10-23T17:27:48.74" personId="{18F62257-8CCF-417D-B022-C8BD7EF0A2E7}" id="{6405C481-5C54-4C4C-BD46-7A06317BAF0F}">
    <text>Input price you recieved from manufacturer, distributor or supplier. IMPORTANT: Example $11.50 per box of gloves if it includes shipping you will not add shipping cost under transportation.</text>
  </threadedComment>
  <threadedComment ref="F15" dT="2021-10-23T18:36:56.32" personId="{18F62257-8CCF-417D-B022-C8BD7EF0A2E7}" id="{7FF2AD3F-364B-4CFE-A5CB-03D6AFC642F2}">
    <text>Input the number of items you are selling to the government. Example 6,636 boxes.  If it's priced by pieces, put the number of pieces.  Do this for each product in the same contract.</text>
  </threadedComment>
  <threadedComment ref="G15" dT="2021-10-23T17:31:08.83" personId="{18F62257-8CCF-417D-B022-C8BD7EF0A2E7}" id="{6477E119-439F-4F85-AF40-5A376D2C76FC}">
    <text>DONOT TOUCH Calculates automatically</text>
  </threadedComment>
  <threadedComment ref="H15" dT="2021-10-23T17:32:51.97" personId="{18F62257-8CCF-417D-B022-C8BD7EF0A2E7}" id="{809D87B1-FD9E-4732-AC02-2CB14C7B3B7D}">
    <text>Add your markup here. IMPORTANT EX. The supplier or manufactuer charged me (contractor) $11.50 per box; I added for my profit $4.45 per box. $4.45 x 6,536.</text>
  </threadedComment>
  <threadedComment ref="I15" dT="2021-10-23T17:33:55.51" personId="{18F62257-8CCF-417D-B022-C8BD7EF0A2E7}" id="{A614F098-885C-4064-BDC6-9B5F773C0335}">
    <text>DONOT TOUCH Calculated automatically this is your profit</text>
  </threadedComment>
  <threadedComment ref="F16" dT="2021-10-23T17:28:47.63" personId="{18F62257-8CCF-417D-B022-C8BD7EF0A2E7}" id="{E4D9F296-96A0-418E-9963-C40C1967DAD4}">
    <text>Input the number of items you are selling to the government based on the contract. Ex. 6,636 boxes of gloves.</text>
  </threadedComment>
  <threadedComment ref="I27" dT="2021-10-23T17:34:09.14" personId="{18F62257-8CCF-417D-B022-C8BD7EF0A2E7}" id="{2B55A79F-1096-4DE9-8F72-010071ACB7E9}">
    <text>Profit</text>
  </threadedComment>
  <threadedComment ref="J27" dT="2021-10-23T17:34:39.82" personId="{18F62257-8CCF-417D-B022-C8BD7EF0A2E7}" id="{2B7D6043-B5B9-4D02-AA8F-C2E22A277FAC}">
    <text>Contract costs to the government</text>
  </threadedComment>
  <threadedComment ref="E31" dT="2021-10-23T17:39:10.22" personId="{18F62257-8CCF-417D-B022-C8BD7EF0A2E7}" id="{B9ADB694-04D5-42A4-BB08-CF7617C1E1B0}">
    <text>Input the rate per hour for your employee or administrator.  You can also NOT charge for an Administor employee to be competitive.</text>
  </threadedComment>
  <threadedComment ref="F31" dT="2021-10-23T17:39:37.44" personId="{18F62257-8CCF-417D-B022-C8BD7EF0A2E7}" id="{002DE919-7498-4032-B5FD-EBCBE57B67A3}">
    <text># of Hours you estimate the employee will work on this contract.</text>
  </threadedComment>
  <threadedComment ref="G31" dT="2021-10-23T17:40:17.77" personId="{18F62257-8CCF-417D-B022-C8BD7EF0A2E7}" id="{44A8871B-50BD-43D6-A6A2-7DD4F2D09336}">
    <text>DONOT TOUCH Auto Calculated</text>
  </threadedComment>
  <threadedComment ref="H31" dT="2021-10-23T17:42:03.50" personId="{18F62257-8CCF-417D-B022-C8BD7EF0A2E7}" id="{AB2F62F9-1166-4C69-8074-D13EDC8C5D30}">
    <text>Add your markup to the employee's rate here or leave it blank at $0.00 for no markup.  If you markup the employee's rate it will calculate in the total employee (administrator's) cost.  It will also show in your profit.</text>
  </threadedComment>
  <threadedComment ref="I31" dT="2021-10-23T17:42:32.50" personId="{18F62257-8CCF-417D-B022-C8BD7EF0A2E7}" id="{09479D8C-DAF9-45D5-A725-809E42F7970E}">
    <text>DONOT TOUCH Auto Calculated</text>
  </threadedComment>
  <threadedComment ref="J31" dT="2021-10-23T17:42:55.37" personId="{18F62257-8CCF-417D-B022-C8BD7EF0A2E7}" id="{B54A9360-2181-4DB2-8B68-1635322A54BB}">
    <text>DONOT TOUCH Auto Calculated</text>
  </threadedComment>
  <threadedComment ref="E42" dT="2021-10-23T17:44:35.57" personId="{18F62257-8CCF-417D-B022-C8BD7EF0A2E7}" id="{E6F8334D-D94C-4CBE-84E4-308C5D84EA75}">
    <text>IMPORTANT: Only input hours here if the subcontractor charges you by the hour.  If they give you one price but no hourly,  INPUT "0" OR LEAVE THIS COLUMN BLANK and use the rate column only.</text>
  </threadedComment>
  <threadedComment ref="F42" dT="2021-10-23T17:49:43.65" personId="{18F62257-8CCF-417D-B022-C8BD7EF0A2E7}" id="{9CC7123F-21FC-4098-94E2-D1D4A68E7D5B}">
    <text>IMPORTANT: Input the rate ONLY if you have the number of hours for the job. EXAMPLE 10 hours @ $40.00. IF you only have the total cost, just put in the TOTAL PRICE| COST.  DO NOT include the number of hours if you have just the total price.</text>
  </threadedComment>
  <threadedComment ref="G42" dT="2021-10-23T17:50:07.59" personId="{18F62257-8CCF-417D-B022-C8BD7EF0A2E7}" id="{88F74F2D-FFAA-419A-A5DF-3CB4FFDC6557}">
    <text>DONOT TOUCH Auto Calculated</text>
  </threadedComment>
  <threadedComment ref="H42" dT="2021-10-23T17:50:50.62" personId="{18F62257-8CCF-417D-B022-C8BD7EF0A2E7}" id="{3D7D826F-B623-459D-AF6A-FE8D03AAD4FD}">
    <text>Input any additional subcontractor costs or leave at "$0.00.</text>
  </threadedComment>
  <threadedComment ref="I42" dT="2021-10-23T17:51:13.60" personId="{18F62257-8CCF-417D-B022-C8BD7EF0A2E7}" id="{4E32EF21-FB0E-4BC2-B653-2A0B0BD99502}">
    <text>DONOT TOUCH Auto Calculated</text>
  </threadedComment>
  <threadedComment ref="J42" dT="2021-10-23T17:51:34.80" personId="{18F62257-8CCF-417D-B022-C8BD7EF0A2E7}" id="{D620E5A3-61FA-4A6A-B515-69DFA17F220E}">
    <text>DONOT TOUCH Auto Calculated</text>
  </threadedComment>
  <threadedComment ref="A51" dT="2021-10-23T17:52:15.09" personId="{18F62257-8CCF-417D-B022-C8BD7EF0A2E7}" id="{FF0ACF3F-E8D8-4D4B-83C9-4049BDDC1B8C}">
    <text>All support services go here</text>
  </threadedComment>
  <threadedComment ref="H52" dT="2021-10-23T17:57:45.81" personId="{18F62257-8CCF-417D-B022-C8BD7EF0A2E7}" id="{23016424-28F9-4BB1-A1C3-6ADCA511C328}">
    <text>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ext>
  </threadedComment>
  <threadedComment ref="I52" dT="2021-10-23T18:00:55.47" personId="{18F62257-8CCF-417D-B022-C8BD7EF0A2E7}" id="{EEFD3371-E379-47E0-9CC5-224F1BCEF444}">
    <text>DONOT TOUCH Auto Calculated</text>
  </threadedComment>
  <threadedComment ref="J52" dT="2021-10-23T18:01:14.28" personId="{18F62257-8CCF-417D-B022-C8BD7EF0A2E7}" id="{82306C5B-504D-4BA4-B38F-3717E4E73EF4}">
    <text>DONOT TOUCH Auto Calculated</text>
  </threadedComment>
  <threadedComment ref="I62" dT="2021-10-23T18:01:52.36" personId="{18F62257-8CCF-417D-B022-C8BD7EF0A2E7}" id="{FE3FB5AB-FB9B-411F-BAAD-9F25F4540274}">
    <text>DONOT TOUCH Auto Calculated</text>
  </threadedComment>
  <threadedComment ref="J62" dT="2021-10-23T18:02:10.85" personId="{18F62257-8CCF-417D-B022-C8BD7EF0A2E7}" id="{6A6222C1-CE0B-47B7-B2B1-3A9FAB5A297A}">
    <text>DONOT TOUCH Auto Calculated</text>
  </threadedComment>
</ThreadedComments>
</file>

<file path=xl/threadedComments/threadedComment3.xml><?xml version="1.0" encoding="utf-8"?>
<ThreadedComments xmlns="http://schemas.microsoft.com/office/spreadsheetml/2018/threadedcomments" xmlns:x="http://schemas.openxmlformats.org/spreadsheetml/2006/main">
  <threadedComment ref="B8" dT="2021-08-01T15:47:16.07" personId="{18F62257-8CCF-417D-B022-C8BD7EF0A2E7}" id="{1ACECD17-D0A2-42C8-BFC5-8A2017A3CE95}">
    <text>WARNING: Do not touch -These two rows calculated automatically.</text>
  </threadedComment>
  <threadedComment ref="B9" dT="2021-08-02T00:28:06.56" personId="{18F62257-8CCF-417D-B022-C8BD7EF0A2E7}" id="{0FA00ECD-17FE-45B5-9684-CC876C5A6A5F}">
    <text>WARNING: Do not touch - these two areas calculate automatically.</text>
  </threadedComment>
  <threadedComment ref="E15" dT="2021-10-23T17:27:48.74" personId="{18F62257-8CCF-417D-B022-C8BD7EF0A2E7}" id="{F80D8C02-8079-4B5B-B3DF-6E2D3AC3A8F7}">
    <text>Input price you recieved from manufacturer, distributor or supplier. IMPORTANT: Example $11.50 per box of gloves if it includes shipping you will not add shipping cost under transportation.</text>
  </threadedComment>
  <threadedComment ref="F15" dT="2021-10-23T18:36:56.32" personId="{18F62257-8CCF-417D-B022-C8BD7EF0A2E7}" id="{CC141520-F987-4A5E-AE7C-D41D0AA458B1}">
    <text>Input the number of items you are selling to the government. Example 6,636 boxes.  If it's priced by pieces, put the number of pieces.  Do this for each product in the same contract.</text>
  </threadedComment>
  <threadedComment ref="G15" dT="2021-10-23T17:31:08.83" personId="{18F62257-8CCF-417D-B022-C8BD7EF0A2E7}" id="{8AD7B3C5-A27E-4DF3-8C3E-AD2DCE61E95C}">
    <text>DONOT TOUCH Calculates automatically</text>
  </threadedComment>
  <threadedComment ref="H15" dT="2021-10-23T17:32:51.97" personId="{18F62257-8CCF-417D-B022-C8BD7EF0A2E7}" id="{DDFD81E5-816F-4FB6-94A5-E438323395BF}">
    <text>Add your markup here. IMPORTANT EX. The supplier or manufactuer charged me (contractor) $11.50 per box; I added for my profit $4.45 per box. $4.45 x 6,536.</text>
  </threadedComment>
  <threadedComment ref="I15" dT="2021-10-23T17:33:55.51" personId="{18F62257-8CCF-417D-B022-C8BD7EF0A2E7}" id="{B3E11203-CD71-4D97-A06A-D55A0EEBB6C5}">
    <text>DONOT TOUCH Calculated automatically this is your profit</text>
  </threadedComment>
  <threadedComment ref="F16" dT="2021-10-23T17:28:47.63" personId="{18F62257-8CCF-417D-B022-C8BD7EF0A2E7}" id="{30889E5A-1698-4F50-B78C-08BF4C36718F}">
    <text>Input the number of items you are selling to the government based on the contract. Ex. 6,636 boxes of gloves.</text>
  </threadedComment>
  <threadedComment ref="I27" dT="2021-10-23T17:34:09.14" personId="{18F62257-8CCF-417D-B022-C8BD7EF0A2E7}" id="{5BE972B9-2290-4A6B-98E8-4CE8828A457E}">
    <text>Profit</text>
  </threadedComment>
  <threadedComment ref="J27" dT="2021-10-23T17:34:39.82" personId="{18F62257-8CCF-417D-B022-C8BD7EF0A2E7}" id="{431AD66A-38E6-4C16-82C3-72CFEC1B476A}">
    <text>Contract costs to the government</text>
  </threadedComment>
  <threadedComment ref="E31" dT="2021-10-23T17:39:10.22" personId="{18F62257-8CCF-417D-B022-C8BD7EF0A2E7}" id="{CA0612E7-5646-4A79-9ACE-15A7494207EA}">
    <text>Input the rate per hour for your employee or administrator.  You can also NOT charge for an Administor employee to be competitive.</text>
  </threadedComment>
  <threadedComment ref="F31" dT="2021-10-23T17:39:37.44" personId="{18F62257-8CCF-417D-B022-C8BD7EF0A2E7}" id="{EFF58374-1661-4C70-9BA8-38EFE1EC4C28}">
    <text># of Hours you estimate the employee will work on this contract.</text>
  </threadedComment>
  <threadedComment ref="G31" dT="2021-10-23T17:40:17.77" personId="{18F62257-8CCF-417D-B022-C8BD7EF0A2E7}" id="{73655F5F-103E-4953-BA75-85BF255AD1E6}">
    <text>DONOT TOUCH Auto Calculated</text>
  </threadedComment>
  <threadedComment ref="H31" dT="2021-10-23T17:42:03.50" personId="{18F62257-8CCF-417D-B022-C8BD7EF0A2E7}" id="{28E5C315-AAED-4468-8047-B583D43EEF60}">
    <text>Add your markup to the employee's rate here or leave it blank at $0.00 for no markup.  If you markup the employee's rate it will calculate in the total employee (administrator's) cost.  It will also show in your profit.</text>
  </threadedComment>
  <threadedComment ref="I31" dT="2021-10-23T17:42:32.50" personId="{18F62257-8CCF-417D-B022-C8BD7EF0A2E7}" id="{353A75E1-0C68-470D-9A91-719787BEDFB8}">
    <text>DONOT TOUCH Auto Calculated</text>
  </threadedComment>
  <threadedComment ref="J31" dT="2021-10-23T17:42:55.37" personId="{18F62257-8CCF-417D-B022-C8BD7EF0A2E7}" id="{9D62EBC7-EEAC-4D73-85C9-2F335F5B965F}">
    <text>DONOT TOUCH Auto Calculated</text>
  </threadedComment>
  <threadedComment ref="E42" dT="2021-10-23T17:44:35.57" personId="{18F62257-8CCF-417D-B022-C8BD7EF0A2E7}" id="{70FE7C8F-E004-4C87-9B40-D99E02473B23}">
    <text>IMPORTANT: Only input hours here if the subcontractor charges you by the hour.  If they give you one price but no hourly,  INPUT "0" OR LEAVE THIS COLUMN BLANK and use the rate column only.</text>
  </threadedComment>
  <threadedComment ref="F42" dT="2021-10-23T17:49:43.65" personId="{18F62257-8CCF-417D-B022-C8BD7EF0A2E7}" id="{0D95CF56-F690-4577-9C65-049535DA790D}">
    <text>IMPORTANT: Input the rate ONLY if you have the number of hours for the job. EXAMPLE 10 hours @ $40.00. IF you only have the total cost, just put in the TOTAL PRICE| COST.  DO NOT include the number of hours if you have just the total price.</text>
  </threadedComment>
  <threadedComment ref="G42" dT="2021-10-23T17:50:07.59" personId="{18F62257-8CCF-417D-B022-C8BD7EF0A2E7}" id="{42F959A4-7C01-4A34-8850-D2A7B58390D9}">
    <text>DONOT TOUCH Auto Calculated</text>
  </threadedComment>
  <threadedComment ref="H42" dT="2021-10-23T17:50:50.62" personId="{18F62257-8CCF-417D-B022-C8BD7EF0A2E7}" id="{DFE967A5-1567-4E8F-B635-89B50470E835}">
    <text>Input any additional subcontractor costs or leave at "$0.00.</text>
  </threadedComment>
  <threadedComment ref="I42" dT="2021-10-23T17:51:13.60" personId="{18F62257-8CCF-417D-B022-C8BD7EF0A2E7}" id="{1B18912E-8725-4167-9540-7C8109E08707}">
    <text>DONOT TOUCH Auto Calculated</text>
  </threadedComment>
  <threadedComment ref="J42" dT="2021-10-23T17:51:34.80" personId="{18F62257-8CCF-417D-B022-C8BD7EF0A2E7}" id="{0923A438-1628-42D4-996D-BAB2690044F1}">
    <text>DONOT TOUCH Auto Calculated</text>
  </threadedComment>
  <threadedComment ref="A51" dT="2021-10-23T17:52:15.09" personId="{18F62257-8CCF-417D-B022-C8BD7EF0A2E7}" id="{14FCBC15-D965-4794-9958-D0AF44811601}">
    <text>All support services go here</text>
  </threadedComment>
  <threadedComment ref="H52" dT="2021-10-23T17:57:45.81" personId="{18F62257-8CCF-417D-B022-C8BD7EF0A2E7}" id="{E579A1B9-8559-4DB2-9F77-31753F9D5F48}">
    <text>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ext>
  </threadedComment>
  <threadedComment ref="I52" dT="2021-10-23T18:00:55.47" personId="{18F62257-8CCF-417D-B022-C8BD7EF0A2E7}" id="{47F31448-D280-4F2F-8206-AACD24F1327C}">
    <text>DONOT TOUCH Auto Calculated</text>
  </threadedComment>
  <threadedComment ref="J52" dT="2021-10-23T18:01:14.28" personId="{18F62257-8CCF-417D-B022-C8BD7EF0A2E7}" id="{B156C881-D5E9-41DD-BA85-C085DB1A5688}">
    <text>DONOT TOUCH Auto Calculated</text>
  </threadedComment>
  <threadedComment ref="I62" dT="2021-10-23T18:01:52.36" personId="{18F62257-8CCF-417D-B022-C8BD7EF0A2E7}" id="{4E957A63-B6FF-4702-BBF3-9A851947B5D6}">
    <text>DONOT TOUCH Auto Calculated</text>
  </threadedComment>
  <threadedComment ref="J62" dT="2021-10-23T18:02:10.85" personId="{18F62257-8CCF-417D-B022-C8BD7EF0A2E7}" id="{03B3C1DA-E598-4FE5-BB8D-CBFF0D354945}">
    <text>DONOT TOUCH Auto Calculated</text>
  </threadedComment>
</ThreadedComments>
</file>

<file path=xl/threadedComments/threadedComment4.xml><?xml version="1.0" encoding="utf-8"?>
<ThreadedComments xmlns="http://schemas.microsoft.com/office/spreadsheetml/2018/threadedcomments" xmlns:x="http://schemas.openxmlformats.org/spreadsheetml/2006/main">
  <threadedComment ref="B8" dT="2021-08-01T15:47:16.07" personId="{18F62257-8CCF-417D-B022-C8BD7EF0A2E7}" id="{6501BC9C-531F-4FD0-B1F4-469D1DF509A4}">
    <text>WARNING: Do not touch -These two rows calculated automatically.</text>
  </threadedComment>
  <threadedComment ref="B9" dT="2021-08-02T00:28:06.56" personId="{18F62257-8CCF-417D-B022-C8BD7EF0A2E7}" id="{EE714124-4335-437D-BB2B-96582D5FF88F}">
    <text>WARNING: Do not touch - these two areas calculate automatically.</text>
  </threadedComment>
  <threadedComment ref="E15" dT="2021-10-23T17:27:48.74" personId="{18F62257-8CCF-417D-B022-C8BD7EF0A2E7}" id="{FAE082A0-8B9D-4517-9451-5138727C9D70}">
    <text>Input price you recieved from manufacturer, distributor or supplier. IMPORTANT: Example $11.50 per box of gloves if it includes shipping you will not add shipping cost under transportation.</text>
  </threadedComment>
  <threadedComment ref="F15" dT="2021-10-23T18:36:56.32" personId="{18F62257-8CCF-417D-B022-C8BD7EF0A2E7}" id="{DBF4638E-6E23-4E64-A14C-53ABE6FA75A9}">
    <text>Input the number of items you are selling to the government. Example 6,636 boxes.  If it's priced by pieces, put the number of pieces.  Do this for each product in the same contract.</text>
  </threadedComment>
  <threadedComment ref="G15" dT="2021-10-23T17:31:08.83" personId="{18F62257-8CCF-417D-B022-C8BD7EF0A2E7}" id="{33D020FE-B0E1-4C85-A479-87FDDDE758D8}">
    <text>DONOT TOUCH Calculates automatically</text>
  </threadedComment>
  <threadedComment ref="H15" dT="2021-10-23T17:32:51.97" personId="{18F62257-8CCF-417D-B022-C8BD7EF0A2E7}" id="{7037A24B-CDD4-4BB7-BF41-A32F9BB596FF}">
    <text>Add your markup here. IMPORTANT EX. The supplier or manufactuer charged me (contractor) $11.50 per box; I added for my profit $4.45 per box. $4.45 x 6,536.</text>
  </threadedComment>
  <threadedComment ref="I15" dT="2021-10-23T17:33:55.51" personId="{18F62257-8CCF-417D-B022-C8BD7EF0A2E7}" id="{998CEC15-8E8C-4518-B591-308E81943C4A}">
    <text>DONOT TOUCH Calculated automatically this is your profit</text>
  </threadedComment>
  <threadedComment ref="F16" dT="2021-10-23T17:28:47.63" personId="{18F62257-8CCF-417D-B022-C8BD7EF0A2E7}" id="{FD68413F-9A5C-4B7E-B1FB-4AE17918D697}">
    <text>Input the number of items you are selling to the government based on the contract. Ex. 6,636 boxes of gloves.</text>
  </threadedComment>
  <threadedComment ref="I27" dT="2021-10-23T17:34:09.14" personId="{18F62257-8CCF-417D-B022-C8BD7EF0A2E7}" id="{E35AE7F6-9F47-4CB5-BC89-C2495882E5F9}">
    <text>Profit</text>
  </threadedComment>
  <threadedComment ref="J27" dT="2021-10-23T17:34:39.82" personId="{18F62257-8CCF-417D-B022-C8BD7EF0A2E7}" id="{0E4108FD-223C-47E7-B816-62364C0DB97A}">
    <text>Contract costs to the government</text>
  </threadedComment>
  <threadedComment ref="E31" dT="2021-10-23T17:39:10.22" personId="{18F62257-8CCF-417D-B022-C8BD7EF0A2E7}" id="{9D4D3AAE-D594-4CCE-9716-B7CEF22D0EC2}">
    <text>Input the rate per hour for your employee or administrator.  You can also NOT charge for an Administor employee to be competitive.</text>
  </threadedComment>
  <threadedComment ref="F31" dT="2021-10-23T17:39:37.44" personId="{18F62257-8CCF-417D-B022-C8BD7EF0A2E7}" id="{C80E61A0-DB05-4F5E-A543-562E7772994B}">
    <text># of Hours you estimate the employee will work on this contract.</text>
  </threadedComment>
  <threadedComment ref="G31" dT="2021-10-23T17:40:17.77" personId="{18F62257-8CCF-417D-B022-C8BD7EF0A2E7}" id="{81E4FDD6-DD60-4F9C-9D8C-31CC197B6004}">
    <text>DONOT TOUCH Auto Calculated</text>
  </threadedComment>
  <threadedComment ref="H31" dT="2021-10-23T17:42:03.50" personId="{18F62257-8CCF-417D-B022-C8BD7EF0A2E7}" id="{DA3AD833-80AA-497B-8101-A1B1F1C0C4EA}">
    <text>Add your markup to the employee's rate here or leave it blank at $0.00 for no markup.  If you markup the employee's rate it will calculate in the total employee (administrator's) cost.  It will also show in your profit.</text>
  </threadedComment>
  <threadedComment ref="I31" dT="2021-10-23T17:42:32.50" personId="{18F62257-8CCF-417D-B022-C8BD7EF0A2E7}" id="{3E1AE24B-55A3-4B09-A64D-071964C59625}">
    <text>DONOT TOUCH Auto Calculated</text>
  </threadedComment>
  <threadedComment ref="J31" dT="2021-10-23T17:42:55.37" personId="{18F62257-8CCF-417D-B022-C8BD7EF0A2E7}" id="{09D9F586-7DC0-4C4F-BB09-D8D9A5EF8CF3}">
    <text>DONOT TOUCH Auto Calculated</text>
  </threadedComment>
  <threadedComment ref="E42" dT="2021-10-23T17:44:35.57" personId="{18F62257-8CCF-417D-B022-C8BD7EF0A2E7}" id="{27FDEF62-A685-4D94-A15E-005DB6A91E23}">
    <text>IMPORTANT: Only input hours here if the subcontractor charges you by the hour.  If they give you one price but no hourly,  INPUT "0" OR LEAVE THIS COLUMN BLANK and use the rate column only.</text>
  </threadedComment>
  <threadedComment ref="F42" dT="2021-10-23T17:49:43.65" personId="{18F62257-8CCF-417D-B022-C8BD7EF0A2E7}" id="{8D79FB17-5F17-45DB-9C5F-7A269EE755DF}">
    <text>IMPORTANT: Input the rate ONLY if you have the number of hours for the job. EXAMPLE 10 hours @ $40.00. IF you only have the total cost, just put in the TOTAL PRICE| COST.  DO NOT include the number of hours if you have just the total price.</text>
  </threadedComment>
  <threadedComment ref="G42" dT="2021-10-23T17:50:07.59" personId="{18F62257-8CCF-417D-B022-C8BD7EF0A2E7}" id="{B64F5B28-3FEC-44DB-8628-4FEE6FC467DC}">
    <text>DONOT TOUCH Auto Calculated</text>
  </threadedComment>
  <threadedComment ref="H42" dT="2021-10-23T17:50:50.62" personId="{18F62257-8CCF-417D-B022-C8BD7EF0A2E7}" id="{536E7B20-84E5-4B04-A262-547451EA780F}">
    <text>Input any additional subcontractor costs or leave at "$0.00.</text>
  </threadedComment>
  <threadedComment ref="I42" dT="2021-10-23T17:51:13.60" personId="{18F62257-8CCF-417D-B022-C8BD7EF0A2E7}" id="{1DD6A49E-54EC-415F-AAB6-54EEB42619D6}">
    <text>DONOT TOUCH Auto Calculated</text>
  </threadedComment>
  <threadedComment ref="J42" dT="2021-10-23T17:51:34.80" personId="{18F62257-8CCF-417D-B022-C8BD7EF0A2E7}" id="{CB82DBA1-36EA-4720-931E-C8A03B4538A5}">
    <text>DONOT TOUCH Auto Calculated</text>
  </threadedComment>
  <threadedComment ref="A51" dT="2021-10-23T17:52:15.09" personId="{18F62257-8CCF-417D-B022-C8BD7EF0A2E7}" id="{EF255CE3-9FD0-4897-86B8-3EE72413CB27}">
    <text>All support services go here</text>
  </threadedComment>
  <threadedComment ref="H52" dT="2021-10-23T17:57:45.81" personId="{18F62257-8CCF-417D-B022-C8BD7EF0A2E7}" id="{16F56042-2158-4E12-8FCD-1602DFBA1062}">
    <text>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ext>
  </threadedComment>
  <threadedComment ref="I52" dT="2021-10-23T18:00:55.47" personId="{18F62257-8CCF-417D-B022-C8BD7EF0A2E7}" id="{BDD37F2F-EECE-4F36-9DAE-23B70C6975DC}">
    <text>DONOT TOUCH Auto Calculated</text>
  </threadedComment>
  <threadedComment ref="J52" dT="2021-10-23T18:01:14.28" personId="{18F62257-8CCF-417D-B022-C8BD7EF0A2E7}" id="{01A65556-1244-4F10-AEDA-EC42907D5769}">
    <text>DONOT TOUCH Auto Calculated</text>
  </threadedComment>
  <threadedComment ref="I62" dT="2021-10-23T18:01:52.36" personId="{18F62257-8CCF-417D-B022-C8BD7EF0A2E7}" id="{DB8B0FF4-AF42-4015-ADA2-524F1A26F2F8}">
    <text>DONOT TOUCH Auto Calculated</text>
  </threadedComment>
  <threadedComment ref="J62" dT="2021-10-23T18:02:10.85" personId="{18F62257-8CCF-417D-B022-C8BD7EF0A2E7}" id="{EEBD4F36-A483-426F-A20E-769A42AE6017}">
    <text>DONOT TOUCH Auto Calculated</text>
  </threadedComment>
</ThreadedComments>
</file>

<file path=xl/threadedComments/threadedComment5.xml><?xml version="1.0" encoding="utf-8"?>
<ThreadedComments xmlns="http://schemas.microsoft.com/office/spreadsheetml/2018/threadedcomments" xmlns:x="http://schemas.openxmlformats.org/spreadsheetml/2006/main">
  <threadedComment ref="B8" dT="2021-08-01T15:47:16.07" personId="{18F62257-8CCF-417D-B022-C8BD7EF0A2E7}" id="{1EA65E6A-48E2-4BBB-8977-70EBF669E75B}">
    <text>WARNING: Do not touch -These two rows calculated automatically.</text>
  </threadedComment>
  <threadedComment ref="B9" dT="2021-08-02T00:28:06.56" personId="{18F62257-8CCF-417D-B022-C8BD7EF0A2E7}" id="{5D7798C0-A982-41FF-AAD7-EC34559EFCB4}">
    <text>WARNING: Do not touch - these two areas calculate automatically.</text>
  </threadedComment>
  <threadedComment ref="E15" dT="2021-10-23T17:27:48.74" personId="{18F62257-8CCF-417D-B022-C8BD7EF0A2E7}" id="{8A31E5D0-5412-416F-910A-EE4DD18CD089}">
    <text>Input price you recieved from manufacturer, distributor or supplier. IMPORTANT: Example $11.50 per box of gloves if it includes shipping you will not add shipping cost under transportation.</text>
  </threadedComment>
  <threadedComment ref="F15" dT="2021-10-23T18:36:56.32" personId="{18F62257-8CCF-417D-B022-C8BD7EF0A2E7}" id="{4AEAFD1A-849D-4911-BCB0-7B2AFABA1B30}">
    <text>Input the number of items you are selling to the government. Example 6,636 boxes.  If it's priced by pieces, put the number of pieces.  Do this for each product in the same contract.</text>
  </threadedComment>
  <threadedComment ref="G15" dT="2021-10-23T17:31:08.83" personId="{18F62257-8CCF-417D-B022-C8BD7EF0A2E7}" id="{820E256D-6431-4FEC-9624-F95E0F5E6605}">
    <text>DONOT TOUCH Calculates automatically</text>
  </threadedComment>
  <threadedComment ref="H15" dT="2021-10-23T17:32:51.97" personId="{18F62257-8CCF-417D-B022-C8BD7EF0A2E7}" id="{122A8E04-39CF-4F6C-A3EF-33155BEA4AE5}">
    <text>Add your markup here. IMPORTANT EX. The supplier or manufactuer charged me (contractor) $11.50 per box; I added for my profit $4.45 per box. $4.45 x 6,536.</text>
  </threadedComment>
  <threadedComment ref="I15" dT="2021-10-23T17:33:55.51" personId="{18F62257-8CCF-417D-B022-C8BD7EF0A2E7}" id="{C78FBC93-F4E6-4F06-8817-4EF935047159}">
    <text>DONOT TOUCH Calculated automatically this is your profit</text>
  </threadedComment>
  <threadedComment ref="F16" dT="2021-10-23T17:28:47.63" personId="{18F62257-8CCF-417D-B022-C8BD7EF0A2E7}" id="{3FE8B83F-B98A-41A2-82BB-0BD192C74D55}">
    <text>Input the number of items you are selling to the government based on the contract. Ex. 6,636 boxes of gloves.</text>
  </threadedComment>
  <threadedComment ref="I27" dT="2021-10-23T17:34:09.14" personId="{18F62257-8CCF-417D-B022-C8BD7EF0A2E7}" id="{0070B131-DABF-45D3-B00A-EE5D940D9AFD}">
    <text>Profit</text>
  </threadedComment>
  <threadedComment ref="J27" dT="2021-10-23T17:34:39.82" personId="{18F62257-8CCF-417D-B022-C8BD7EF0A2E7}" id="{84074BBE-9F4D-41DC-96BF-99E001A0B2D1}">
    <text>Contract costs to the government</text>
  </threadedComment>
  <threadedComment ref="E31" dT="2021-10-23T17:39:10.22" personId="{18F62257-8CCF-417D-B022-C8BD7EF0A2E7}" id="{33D63F04-0C04-471C-A28F-2E16C5187418}">
    <text>Input the rate per hour for your employee or administrator.  You can also NOT charge for an Administor employee to be competitive.</text>
  </threadedComment>
  <threadedComment ref="F31" dT="2021-10-23T17:39:37.44" personId="{18F62257-8CCF-417D-B022-C8BD7EF0A2E7}" id="{12CB4731-571C-4BD3-9191-80800D95E8B4}">
    <text># of Hours you estimate the employee will work on this contract.</text>
  </threadedComment>
  <threadedComment ref="G31" dT="2021-10-23T17:40:17.77" personId="{18F62257-8CCF-417D-B022-C8BD7EF0A2E7}" id="{FF3DAA34-C42D-4E38-BAFA-C24BB1BCA9FF}">
    <text>DONOT TOUCH Auto Calculated</text>
  </threadedComment>
  <threadedComment ref="H31" dT="2021-10-23T17:42:03.50" personId="{18F62257-8CCF-417D-B022-C8BD7EF0A2E7}" id="{92836B83-7412-4E6F-831D-858B4B0F1771}">
    <text>Add your markup to the employee's rate here or leave it blank at $0.00 for no markup.  If you markup the employee's rate it will calculate in the total employee (administrator's) cost.  It will also show in your profit.</text>
  </threadedComment>
  <threadedComment ref="I31" dT="2021-10-23T17:42:32.50" personId="{18F62257-8CCF-417D-B022-C8BD7EF0A2E7}" id="{0380FA90-EA1E-4FDC-B7C1-7E9B0A0E6571}">
    <text>DONOT TOUCH Auto Calculated</text>
  </threadedComment>
  <threadedComment ref="J31" dT="2021-10-23T17:42:55.37" personId="{18F62257-8CCF-417D-B022-C8BD7EF0A2E7}" id="{C5DCE09E-472F-4B96-96C4-858B72BC8FFF}">
    <text>DONOT TOUCH Auto Calculated</text>
  </threadedComment>
  <threadedComment ref="E42" dT="2021-10-23T17:44:35.57" personId="{18F62257-8CCF-417D-B022-C8BD7EF0A2E7}" id="{82DBE47D-BC6E-4259-BF5E-10486C111187}">
    <text>IMPORTANT: Only input hours here if the subcontractor charges you by the hour.  If they give you one price but no hourly,  INPUT "0" OR LEAVE THIS COLUMN BLANK and use the rate column only.</text>
  </threadedComment>
  <threadedComment ref="F42" dT="2021-10-23T17:49:43.65" personId="{18F62257-8CCF-417D-B022-C8BD7EF0A2E7}" id="{CC0CDC9C-E621-4C8F-8C1D-1FEC346F6CE8}">
    <text>IMPORTANT: Input the rate ONLY if you have the number of hours for the job. EXAMPLE 10 hours @ $40.00. IF you only have the total cost, just put in the TOTAL PRICE| COST.  DO NOT include the number of hours if you have just the total price.</text>
  </threadedComment>
  <threadedComment ref="G42" dT="2021-10-23T17:50:07.59" personId="{18F62257-8CCF-417D-B022-C8BD7EF0A2E7}" id="{40D08B78-80B4-4443-972D-571DA9FC0E9F}">
    <text>DONOT TOUCH Auto Calculated</text>
  </threadedComment>
  <threadedComment ref="H42" dT="2021-10-23T17:50:50.62" personId="{18F62257-8CCF-417D-B022-C8BD7EF0A2E7}" id="{AAB7EBEE-3C0D-4F54-80E4-9BA705BCEB14}">
    <text>Input any additional subcontractor costs or leave at "$0.00.</text>
  </threadedComment>
  <threadedComment ref="I42" dT="2021-10-23T17:51:13.60" personId="{18F62257-8CCF-417D-B022-C8BD7EF0A2E7}" id="{6AB5A19B-AFA7-4FB2-86FC-E2773F06E767}">
    <text>DONOT TOUCH Auto Calculated</text>
  </threadedComment>
  <threadedComment ref="J42" dT="2021-10-23T17:51:34.80" personId="{18F62257-8CCF-417D-B022-C8BD7EF0A2E7}" id="{0902D54D-CB54-4163-A580-1C643CE7E36E}">
    <text>DONOT TOUCH Auto Calculated</text>
  </threadedComment>
  <threadedComment ref="A51" dT="2021-10-23T17:52:15.09" personId="{18F62257-8CCF-417D-B022-C8BD7EF0A2E7}" id="{EBB7BBEB-F290-45D3-AD62-C4EDECF1FF83}">
    <text>All support services go here</text>
  </threadedComment>
  <threadedComment ref="H52" dT="2021-10-23T17:57:45.81" personId="{18F62257-8CCF-417D-B022-C8BD7EF0A2E7}" id="{792E1468-8B9F-4925-AA29-A9D65E2386E1}">
    <text>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ext>
  </threadedComment>
  <threadedComment ref="I52" dT="2021-10-23T18:00:55.47" personId="{18F62257-8CCF-417D-B022-C8BD7EF0A2E7}" id="{19B74A22-9BD5-41F7-A106-A0F2AF713CDF}">
    <text>DONOT TOUCH Auto Calculated</text>
  </threadedComment>
  <threadedComment ref="J52" dT="2021-10-23T18:01:14.28" personId="{18F62257-8CCF-417D-B022-C8BD7EF0A2E7}" id="{B721FE42-4003-4317-9299-D0DB61A81004}">
    <text>DONOT TOUCH Auto Calculated</text>
  </threadedComment>
  <threadedComment ref="I62" dT="2021-10-23T18:01:52.36" personId="{18F62257-8CCF-417D-B022-C8BD7EF0A2E7}" id="{E3176A63-A815-4DD7-8B30-8E2A4C1121F3}">
    <text>DONOT TOUCH Auto Calculated</text>
  </threadedComment>
  <threadedComment ref="J62" dT="2021-10-23T18:02:10.85" personId="{18F62257-8CCF-417D-B022-C8BD7EF0A2E7}" id="{9D0EA889-7380-4306-8EF1-4C6E5B7D728F}">
    <text>DONOT TOUCH Auto Calculated</text>
  </threadedComment>
</ThreadedComments>
</file>

<file path=xl/threadedComments/threadedComment6.xml><?xml version="1.0" encoding="utf-8"?>
<ThreadedComments xmlns="http://schemas.microsoft.com/office/spreadsheetml/2018/threadedcomments" xmlns:x="http://schemas.openxmlformats.org/spreadsheetml/2006/main">
  <threadedComment ref="B8" dT="2021-08-01T15:47:16.07" personId="{18F62257-8CCF-417D-B022-C8BD7EF0A2E7}" id="{1B59D3DC-C6E8-4C93-9A15-8A2B3748448F}">
    <text>WARNING: Do not touch -These two rows calculated automatically.</text>
  </threadedComment>
  <threadedComment ref="B9" dT="2021-08-02T00:28:06.56" personId="{18F62257-8CCF-417D-B022-C8BD7EF0A2E7}" id="{AF55AEFE-E342-4994-94A0-970A534F2C93}">
    <text>WARNING: Do not touch - these two areas calculate automatically.</text>
  </threadedComment>
  <threadedComment ref="E15" dT="2021-10-23T17:27:48.74" personId="{18F62257-8CCF-417D-B022-C8BD7EF0A2E7}" id="{3EF386A7-A59D-4137-BB05-3A3865359F7A}">
    <text>Input price you recieved from manufacturer, distributor or supplier. IMPORTANT: Example $11.50 per box of gloves if it includes shipping you will not add shipping cost under transportation.</text>
  </threadedComment>
  <threadedComment ref="F15" dT="2021-10-23T18:36:56.32" personId="{18F62257-8CCF-417D-B022-C8BD7EF0A2E7}" id="{301C00B3-FD0A-43D0-8549-E50F20C9FAC3}">
    <text>Input the number of items you are selling to the government. Example 6,636 boxes.  If it's priced by pieces, put the number of pieces.  Do this for each product in the same contract.</text>
  </threadedComment>
  <threadedComment ref="G15" dT="2021-10-23T17:31:08.83" personId="{18F62257-8CCF-417D-B022-C8BD7EF0A2E7}" id="{A625527A-6279-4625-882C-5EACCD7C6A9C}">
    <text>DONOT TOUCH Calculates automatically</text>
  </threadedComment>
  <threadedComment ref="H15" dT="2021-10-23T17:32:51.97" personId="{18F62257-8CCF-417D-B022-C8BD7EF0A2E7}" id="{0F10611F-136F-427C-B1A2-D9C9D1EAAC36}">
    <text>Add your markup here. IMPORTANT EX. The supplier or manufactuer charged me (contractor) $11.50 per box; I added for my profit $4.45 per box. $4.45 x 6,536.</text>
  </threadedComment>
  <threadedComment ref="I15" dT="2021-10-23T17:33:55.51" personId="{18F62257-8CCF-417D-B022-C8BD7EF0A2E7}" id="{842722C9-F045-45C9-B9F4-B7895D2C47FC}">
    <text>DONOT TOUCH Calculated automatically this is your profit</text>
  </threadedComment>
  <threadedComment ref="F16" dT="2021-10-23T17:28:47.63" personId="{18F62257-8CCF-417D-B022-C8BD7EF0A2E7}" id="{04469596-F450-470C-8F7E-5747565A4548}">
    <text>Input the number of items you are selling to the government based on the contract. Ex. 6,636 boxes of gloves.</text>
  </threadedComment>
  <threadedComment ref="I27" dT="2021-10-23T17:34:09.14" personId="{18F62257-8CCF-417D-B022-C8BD7EF0A2E7}" id="{C8F9AD75-1188-4A93-91B5-D6EA2F5A6119}">
    <text>Profit</text>
  </threadedComment>
  <threadedComment ref="J27" dT="2021-10-23T17:34:39.82" personId="{18F62257-8CCF-417D-B022-C8BD7EF0A2E7}" id="{373F66A6-619A-4B31-8860-D74B31E801EB}">
    <text>Contract costs to the government</text>
  </threadedComment>
  <threadedComment ref="E31" dT="2021-10-23T17:39:10.22" personId="{18F62257-8CCF-417D-B022-C8BD7EF0A2E7}" id="{23CA09AA-8001-4E62-80FF-6AB80D23A2CD}">
    <text>Input the rate per hour for your employee or administrator.  You can also NOT charge for an Administor employee to be competitive.</text>
  </threadedComment>
  <threadedComment ref="F31" dT="2021-10-23T17:39:37.44" personId="{18F62257-8CCF-417D-B022-C8BD7EF0A2E7}" id="{3321506F-1642-4307-A3F6-846D5F0C5896}">
    <text># of Hours you estimate the employee will work on this contract.</text>
  </threadedComment>
  <threadedComment ref="G31" dT="2021-10-23T17:40:17.77" personId="{18F62257-8CCF-417D-B022-C8BD7EF0A2E7}" id="{6A9C189B-3146-4858-9549-51D45849C23D}">
    <text>DONOT TOUCH Auto Calculated</text>
  </threadedComment>
  <threadedComment ref="H31" dT="2021-10-23T17:42:03.50" personId="{18F62257-8CCF-417D-B022-C8BD7EF0A2E7}" id="{448DAEED-D223-4409-B1E9-339F0EE78600}">
    <text>Add your markup to the employee's rate here or leave it blank at $0.00 for no markup.  If you markup the employee's rate it will calculate in the total employee (administrator's) cost.  It will also show in your profit.</text>
  </threadedComment>
  <threadedComment ref="I31" dT="2021-10-23T17:42:32.50" personId="{18F62257-8CCF-417D-B022-C8BD7EF0A2E7}" id="{7C754D57-61CF-4297-9E6B-8E13E9F2DA5E}">
    <text>DONOT TOUCH Auto Calculated</text>
  </threadedComment>
  <threadedComment ref="J31" dT="2021-10-23T17:42:55.37" personId="{18F62257-8CCF-417D-B022-C8BD7EF0A2E7}" id="{6EB03BAB-E08F-479F-B032-C6C893B14FDE}">
    <text>DONOT TOUCH Auto Calculated</text>
  </threadedComment>
  <threadedComment ref="E42" dT="2021-10-23T17:44:35.57" personId="{18F62257-8CCF-417D-B022-C8BD7EF0A2E7}" id="{705F2F17-777B-482C-823C-643151913801}">
    <text>IMPORTANT: Only input hours here if the subcontractor charges you by the hour.  If they give you one price but no hourly,  INPUT "0" OR LEAVE THIS COLUMN BLANK and use the rate column only.</text>
  </threadedComment>
  <threadedComment ref="F42" dT="2021-10-23T17:49:43.65" personId="{18F62257-8CCF-417D-B022-C8BD7EF0A2E7}" id="{0DDC4B06-69DF-4EF8-A2E0-D9CFEBF700C0}">
    <text>IMPORTANT: Input the rate ONLY if you have the number of hours for the job. EXAMPLE 10 hours @ $40.00. IF you only have the total cost, just put in the TOTAL PRICE| COST.  DO NOT include the number of hours if you have just the total price.</text>
  </threadedComment>
  <threadedComment ref="G42" dT="2021-10-23T17:50:07.59" personId="{18F62257-8CCF-417D-B022-C8BD7EF0A2E7}" id="{5AED2CB4-382D-47B4-9CA7-7F5726BE4040}">
    <text>DONOT TOUCH Auto Calculated</text>
  </threadedComment>
  <threadedComment ref="H42" dT="2021-10-23T17:50:50.62" personId="{18F62257-8CCF-417D-B022-C8BD7EF0A2E7}" id="{5ED386B8-67EC-40EA-A5E4-9D63312DC8C6}">
    <text>Input any additional subcontractor costs or leave at "$0.00.</text>
  </threadedComment>
  <threadedComment ref="I42" dT="2021-10-23T17:51:13.60" personId="{18F62257-8CCF-417D-B022-C8BD7EF0A2E7}" id="{89542097-6B59-4432-88E2-BA171BD0C3FA}">
    <text>DONOT TOUCH Auto Calculated</text>
  </threadedComment>
  <threadedComment ref="J42" dT="2021-10-23T17:51:34.80" personId="{18F62257-8CCF-417D-B022-C8BD7EF0A2E7}" id="{D1FF3178-4179-4F89-844D-B3A37FA738AA}">
    <text>DONOT TOUCH Auto Calculated</text>
  </threadedComment>
  <threadedComment ref="A51" dT="2021-10-23T17:52:15.09" personId="{18F62257-8CCF-417D-B022-C8BD7EF0A2E7}" id="{7F1B779B-2FDB-4154-A86C-E793C742B089}">
    <text>All support services go here</text>
  </threadedComment>
  <threadedComment ref="H52" dT="2021-10-23T17:57:45.81" personId="{18F62257-8CCF-417D-B022-C8BD7EF0A2E7}" id="{400D53F5-E4E7-49EE-B216-51FBDCBA081C}">
    <text>This is an area of opportunity to be competitive with your price. Input any extra services you must have for this contract.  Example: Taking your insurance cost from 1M to 5M for this contract.  Only charge for services such as insurance, payroll, etc if you must. HOWEVER DOCUMENT THE COST IS "$0.00" WHETHER YOU CHARGE OR NOT.</text>
  </threadedComment>
  <threadedComment ref="I52" dT="2021-10-23T18:00:55.47" personId="{18F62257-8CCF-417D-B022-C8BD7EF0A2E7}" id="{0987B5EA-F298-4E79-9433-30D53BE7F4F3}">
    <text>DONOT TOUCH Auto Calculated</text>
  </threadedComment>
  <threadedComment ref="J52" dT="2021-10-23T18:01:14.28" personId="{18F62257-8CCF-417D-B022-C8BD7EF0A2E7}" id="{5F529167-C6E7-4614-B183-C40917D8D0F7}">
    <text>DONOT TOUCH Auto Calculated</text>
  </threadedComment>
  <threadedComment ref="I62" dT="2021-10-23T18:01:52.36" personId="{18F62257-8CCF-417D-B022-C8BD7EF0A2E7}" id="{CA3F47CE-9191-42FA-8965-1E0B829A756A}">
    <text>DONOT TOUCH Auto Calculated</text>
  </threadedComment>
  <threadedComment ref="J62" dT="2021-10-23T18:02:10.85" personId="{18F62257-8CCF-417D-B022-C8BD7EF0A2E7}" id="{C0A87855-3A95-41AA-A4D4-4584E319442E}">
    <text>DONOT TOUCH Auto Calculated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1345-8CBD-45CC-8D67-B22DB876071E}">
  <dimension ref="A1:V71"/>
  <sheetViews>
    <sheetView topLeftCell="A13" zoomScale="91" zoomScaleNormal="91" workbookViewId="0">
      <selection activeCell="K2" sqref="K2"/>
    </sheetView>
  </sheetViews>
  <sheetFormatPr defaultRowHeight="15" x14ac:dyDescent="0.25"/>
  <cols>
    <col min="1" max="1" width="25.5703125" customWidth="1"/>
    <col min="2" max="2" width="19.42578125" customWidth="1"/>
    <col min="3" max="3" width="24.85546875" customWidth="1"/>
    <col min="4" max="4" width="20.42578125" customWidth="1"/>
    <col min="5" max="5" width="17.140625" customWidth="1"/>
    <col min="6" max="6" width="12.85546875" customWidth="1"/>
    <col min="7" max="7" width="15.42578125" customWidth="1"/>
    <col min="8" max="8" width="19.85546875" customWidth="1"/>
    <col min="9" max="9" width="16.7109375" customWidth="1"/>
    <col min="10" max="10" width="19.42578125" customWidth="1"/>
    <col min="11" max="11" width="20.28515625" customWidth="1"/>
    <col min="12" max="12" width="15.42578125" customWidth="1"/>
    <col min="13" max="13" width="21" customWidth="1"/>
  </cols>
  <sheetData>
    <row r="1" spans="1:22" ht="23.25" x14ac:dyDescent="0.35">
      <c r="A1" s="202" t="s">
        <v>31</v>
      </c>
      <c r="B1" s="202"/>
      <c r="C1" s="202"/>
      <c r="D1" s="91"/>
      <c r="E1" s="194" t="s">
        <v>51</v>
      </c>
      <c r="F1" s="194"/>
      <c r="G1" s="194"/>
      <c r="H1" s="194"/>
      <c r="I1" s="194"/>
      <c r="J1" s="102"/>
    </row>
    <row r="2" spans="1:22" x14ac:dyDescent="0.25">
      <c r="A2" s="14" t="s">
        <v>1</v>
      </c>
      <c r="B2" s="92" t="s">
        <v>27</v>
      </c>
      <c r="C2" s="93"/>
      <c r="E2" s="194"/>
      <c r="F2" s="194"/>
      <c r="G2" s="194"/>
      <c r="H2" s="194"/>
      <c r="I2" s="194"/>
      <c r="J2" s="91"/>
      <c r="K2" s="63"/>
    </row>
    <row r="3" spans="1:22" ht="15.75" x14ac:dyDescent="0.25">
      <c r="A3" s="13" t="s">
        <v>55</v>
      </c>
      <c r="B3" s="94" t="s">
        <v>56</v>
      </c>
      <c r="C3" s="95"/>
      <c r="D3" s="31"/>
      <c r="E3" s="194"/>
      <c r="F3" s="194"/>
      <c r="G3" s="194"/>
      <c r="H3" s="194"/>
      <c r="I3" s="194"/>
      <c r="J3" s="171"/>
      <c r="K3" s="63"/>
    </row>
    <row r="4" spans="1:22" x14ac:dyDescent="0.25">
      <c r="A4" s="13" t="s">
        <v>2</v>
      </c>
      <c r="B4" s="94" t="s">
        <v>28</v>
      </c>
      <c r="C4" s="95"/>
      <c r="D4" s="31"/>
      <c r="E4" s="194"/>
      <c r="F4" s="194"/>
      <c r="G4" s="194"/>
      <c r="H4" s="194"/>
      <c r="I4" s="194"/>
      <c r="K4" s="63"/>
    </row>
    <row r="5" spans="1:22" ht="15" customHeight="1" x14ac:dyDescent="0.25">
      <c r="A5" s="13" t="s">
        <v>0</v>
      </c>
      <c r="B5" s="94" t="s">
        <v>29</v>
      </c>
      <c r="C5" s="95"/>
      <c r="D5" s="195" t="s">
        <v>93</v>
      </c>
      <c r="E5" s="196"/>
      <c r="F5" s="196"/>
      <c r="G5" s="196"/>
      <c r="H5" s="196"/>
      <c r="I5" s="196"/>
      <c r="J5" s="196"/>
      <c r="K5" s="63"/>
    </row>
    <row r="6" spans="1:22" ht="15" customHeight="1" x14ac:dyDescent="0.25">
      <c r="A6" s="13" t="s">
        <v>57</v>
      </c>
      <c r="B6" s="94" t="s">
        <v>61</v>
      </c>
      <c r="C6" s="95"/>
      <c r="D6" s="197"/>
      <c r="E6" s="198"/>
      <c r="F6" s="198"/>
      <c r="G6" s="198"/>
      <c r="H6" s="198"/>
      <c r="I6" s="198"/>
      <c r="J6" s="198"/>
      <c r="K6" s="63"/>
    </row>
    <row r="7" spans="1:22" x14ac:dyDescent="0.25">
      <c r="A7" s="13" t="s">
        <v>7</v>
      </c>
      <c r="B7" s="96" t="s">
        <v>30</v>
      </c>
      <c r="C7" s="97"/>
      <c r="D7" s="199" t="s">
        <v>96</v>
      </c>
      <c r="E7" s="200"/>
      <c r="F7" s="200"/>
      <c r="G7" s="200"/>
      <c r="H7" s="200"/>
      <c r="I7" s="200"/>
      <c r="J7" s="200"/>
      <c r="K7" s="63"/>
    </row>
    <row r="8" spans="1:22" ht="15" customHeight="1" x14ac:dyDescent="0.25">
      <c r="A8" s="62" t="s">
        <v>25</v>
      </c>
      <c r="B8" s="206">
        <f>SUM(J27+J37+J48+J58+J68)</f>
        <v>109604.2</v>
      </c>
      <c r="C8" s="207"/>
      <c r="D8" s="201"/>
      <c r="E8" s="200"/>
      <c r="F8" s="200"/>
      <c r="G8" s="200"/>
      <c r="H8" s="200"/>
      <c r="I8" s="200"/>
      <c r="J8" s="200"/>
    </row>
    <row r="9" spans="1:22" ht="15" customHeight="1" x14ac:dyDescent="0.25">
      <c r="A9" s="61" t="s">
        <v>3</v>
      </c>
      <c r="B9" s="212">
        <f>SUM(I27+I37+I48+I58+I68)</f>
        <v>30280.2</v>
      </c>
      <c r="C9" s="213"/>
      <c r="D9" s="201"/>
      <c r="E9" s="200"/>
      <c r="F9" s="200"/>
      <c r="G9" s="200"/>
      <c r="H9" s="200"/>
      <c r="I9" s="200"/>
      <c r="J9" s="200"/>
    </row>
    <row r="10" spans="1:22" s="56" customFormat="1" x14ac:dyDescent="0.25">
      <c r="A10" s="34"/>
      <c r="B10" s="34"/>
      <c r="C10" s="54"/>
      <c r="D10" s="55"/>
      <c r="E10" s="32"/>
    </row>
    <row r="11" spans="1:22" ht="11.25" customHeight="1" x14ac:dyDescent="0.25">
      <c r="A11" s="34"/>
      <c r="B11" s="34"/>
      <c r="C11" s="5"/>
      <c r="D11" s="5"/>
      <c r="E11" s="32"/>
    </row>
    <row r="12" spans="1:22" s="56" customFormat="1" ht="21.75" customHeight="1" x14ac:dyDescent="0.25">
      <c r="A12" s="172" t="s">
        <v>95</v>
      </c>
      <c r="B12" s="172"/>
      <c r="C12" s="172"/>
      <c r="D12" s="172"/>
      <c r="E12" s="172"/>
      <c r="F12" s="172"/>
      <c r="G12" s="172"/>
      <c r="H12" s="172"/>
      <c r="I12" s="172"/>
      <c r="J12" s="172"/>
      <c r="K12" s="172"/>
      <c r="L12" s="172"/>
      <c r="M12" s="172"/>
    </row>
    <row r="13" spans="1:22" x14ac:dyDescent="0.25">
      <c r="A13" s="89" t="s">
        <v>26</v>
      </c>
      <c r="B13" s="101"/>
      <c r="C13" s="101"/>
      <c r="D13" s="101"/>
      <c r="E13" s="101"/>
      <c r="F13" s="101"/>
      <c r="G13" s="101"/>
      <c r="H13" s="101"/>
      <c r="I13" s="101"/>
      <c r="J13" s="101"/>
      <c r="K13" s="68"/>
      <c r="L13" s="68"/>
      <c r="M13" s="68"/>
    </row>
    <row r="14" spans="1:22" s="1" customFormat="1" ht="15.75" x14ac:dyDescent="0.25">
      <c r="A14" s="211" t="s">
        <v>39</v>
      </c>
      <c r="B14" s="211"/>
      <c r="C14" s="211"/>
      <c r="D14" s="211"/>
      <c r="E14" s="211"/>
      <c r="F14" s="211"/>
      <c r="G14" s="211"/>
      <c r="H14" s="211"/>
      <c r="I14" s="211"/>
      <c r="J14" s="211"/>
      <c r="K14" s="67"/>
      <c r="L14" s="67"/>
      <c r="M14" s="67"/>
      <c r="N14" s="35"/>
      <c r="O14" s="35"/>
      <c r="P14" s="35"/>
      <c r="Q14" s="35"/>
      <c r="R14" s="35"/>
      <c r="S14" s="35"/>
      <c r="T14" s="35"/>
      <c r="U14" s="35"/>
      <c r="V14" s="35"/>
    </row>
    <row r="15" spans="1:22" s="3" customFormat="1" ht="16.5" thickBot="1" x14ac:dyDescent="0.3">
      <c r="A15" s="2" t="s">
        <v>94</v>
      </c>
      <c r="B15" s="2" t="s">
        <v>60</v>
      </c>
      <c r="C15" s="2" t="s">
        <v>59</v>
      </c>
      <c r="D15" s="2" t="s">
        <v>41</v>
      </c>
      <c r="E15" s="2" t="s">
        <v>42</v>
      </c>
      <c r="F15" s="30" t="s">
        <v>43</v>
      </c>
      <c r="G15" s="2" t="s">
        <v>44</v>
      </c>
      <c r="H15" s="103" t="s">
        <v>32</v>
      </c>
      <c r="I15" s="2" t="s">
        <v>9</v>
      </c>
      <c r="J15" s="2" t="s">
        <v>85</v>
      </c>
      <c r="K15" s="36"/>
      <c r="L15" s="36"/>
      <c r="M15" s="36"/>
      <c r="N15" s="36"/>
      <c r="O15" s="36"/>
      <c r="P15" s="36"/>
      <c r="Q15" s="36"/>
      <c r="R15" s="36"/>
      <c r="S15" s="36"/>
    </row>
    <row r="16" spans="1:22" ht="15.75" x14ac:dyDescent="0.25">
      <c r="A16" s="4" t="s">
        <v>97</v>
      </c>
      <c r="B16" s="4" t="s">
        <v>98</v>
      </c>
      <c r="C16" s="4" t="s">
        <v>99</v>
      </c>
      <c r="D16" s="4" t="s">
        <v>72</v>
      </c>
      <c r="E16" s="69">
        <v>11.5</v>
      </c>
      <c r="F16" s="105">
        <v>6636</v>
      </c>
      <c r="G16" s="108">
        <f t="shared" ref="G16:G24" si="0">SUM(E16*F16)</f>
        <v>76314</v>
      </c>
      <c r="H16" s="115">
        <v>4.45</v>
      </c>
      <c r="I16" s="112">
        <f>SUM(F16*H16)</f>
        <v>29530.2</v>
      </c>
      <c r="J16" s="123">
        <f>SUM(G16+I16)</f>
        <v>105844.2</v>
      </c>
      <c r="K16" s="36"/>
    </row>
    <row r="17" spans="1:11" ht="15.75" x14ac:dyDescent="0.25">
      <c r="A17" s="4" t="s">
        <v>40</v>
      </c>
      <c r="B17" s="4" t="s">
        <v>63</v>
      </c>
      <c r="C17" s="4" t="s">
        <v>66</v>
      </c>
      <c r="D17" s="4" t="s">
        <v>45</v>
      </c>
      <c r="E17" s="69">
        <v>0</v>
      </c>
      <c r="F17" s="106">
        <v>0</v>
      </c>
      <c r="G17" s="109">
        <f t="shared" si="0"/>
        <v>0</v>
      </c>
      <c r="H17" s="116">
        <v>0</v>
      </c>
      <c r="I17" s="113">
        <f t="shared" ref="I17:I26" si="1">SUM(F17*H17)</f>
        <v>0</v>
      </c>
      <c r="J17" s="124">
        <f t="shared" ref="J17:J26" si="2">SUM(G17+I17)</f>
        <v>0</v>
      </c>
      <c r="K17" s="36"/>
    </row>
    <row r="18" spans="1:11" ht="15.75" x14ac:dyDescent="0.25">
      <c r="A18" s="4" t="s">
        <v>40</v>
      </c>
      <c r="B18" s="4" t="s">
        <v>64</v>
      </c>
      <c r="C18" s="4" t="s">
        <v>67</v>
      </c>
      <c r="D18" s="4" t="s">
        <v>45</v>
      </c>
      <c r="E18" s="69">
        <v>0</v>
      </c>
      <c r="F18" s="106">
        <v>0</v>
      </c>
      <c r="G18" s="109">
        <f t="shared" si="0"/>
        <v>0</v>
      </c>
      <c r="H18" s="116">
        <v>0</v>
      </c>
      <c r="I18" s="113">
        <f t="shared" si="1"/>
        <v>0</v>
      </c>
      <c r="J18" s="124">
        <f t="shared" si="2"/>
        <v>0</v>
      </c>
      <c r="K18" s="36"/>
    </row>
    <row r="19" spans="1:11" ht="15.75" x14ac:dyDescent="0.25">
      <c r="A19" s="4"/>
      <c r="B19" s="4"/>
      <c r="C19" s="4"/>
      <c r="D19" s="65"/>
      <c r="E19" s="70">
        <v>0</v>
      </c>
      <c r="F19" s="106">
        <v>0</v>
      </c>
      <c r="G19" s="109">
        <f t="shared" si="0"/>
        <v>0</v>
      </c>
      <c r="H19" s="116">
        <v>0</v>
      </c>
      <c r="I19" s="113">
        <f t="shared" si="1"/>
        <v>0</v>
      </c>
      <c r="J19" s="124">
        <f t="shared" si="2"/>
        <v>0</v>
      </c>
      <c r="K19" s="36"/>
    </row>
    <row r="20" spans="1:11" ht="15.75" x14ac:dyDescent="0.25">
      <c r="A20" s="4"/>
      <c r="B20" s="4"/>
      <c r="C20" s="4"/>
      <c r="D20" s="65"/>
      <c r="E20" s="70">
        <v>0</v>
      </c>
      <c r="F20" s="106">
        <v>0</v>
      </c>
      <c r="G20" s="109">
        <f t="shared" si="0"/>
        <v>0</v>
      </c>
      <c r="H20" s="116">
        <v>0</v>
      </c>
      <c r="I20" s="113">
        <f t="shared" si="1"/>
        <v>0</v>
      </c>
      <c r="J20" s="124">
        <f t="shared" si="2"/>
        <v>0</v>
      </c>
      <c r="K20" s="36"/>
    </row>
    <row r="21" spans="1:11" ht="15.75" x14ac:dyDescent="0.25">
      <c r="A21" s="4"/>
      <c r="B21" s="4"/>
      <c r="C21" s="4"/>
      <c r="D21" s="65"/>
      <c r="E21" s="70">
        <v>0</v>
      </c>
      <c r="F21" s="106">
        <v>0</v>
      </c>
      <c r="G21" s="109">
        <f t="shared" si="0"/>
        <v>0</v>
      </c>
      <c r="H21" s="116">
        <v>0</v>
      </c>
      <c r="I21" s="113">
        <f t="shared" si="1"/>
        <v>0</v>
      </c>
      <c r="J21" s="124">
        <f t="shared" si="2"/>
        <v>0</v>
      </c>
      <c r="K21" s="36"/>
    </row>
    <row r="22" spans="1:11" ht="15.75" x14ac:dyDescent="0.25">
      <c r="A22" s="4"/>
      <c r="B22" s="4"/>
      <c r="C22" s="4"/>
      <c r="D22" s="65"/>
      <c r="E22" s="70">
        <v>0</v>
      </c>
      <c r="F22" s="106">
        <v>0</v>
      </c>
      <c r="G22" s="110">
        <f t="shared" si="0"/>
        <v>0</v>
      </c>
      <c r="H22" s="116">
        <v>0</v>
      </c>
      <c r="I22" s="113">
        <f t="shared" si="1"/>
        <v>0</v>
      </c>
      <c r="J22" s="124">
        <f t="shared" si="2"/>
        <v>0</v>
      </c>
      <c r="K22" s="36"/>
    </row>
    <row r="23" spans="1:11" ht="15.75" x14ac:dyDescent="0.25">
      <c r="A23" s="4"/>
      <c r="B23" s="4"/>
      <c r="C23" s="4"/>
      <c r="D23" s="65"/>
      <c r="E23" s="70">
        <v>0</v>
      </c>
      <c r="F23" s="107">
        <v>0</v>
      </c>
      <c r="G23" s="111">
        <f t="shared" si="0"/>
        <v>0</v>
      </c>
      <c r="H23" s="116">
        <v>0</v>
      </c>
      <c r="I23" s="113">
        <f t="shared" si="1"/>
        <v>0</v>
      </c>
      <c r="J23" s="124">
        <f t="shared" si="2"/>
        <v>0</v>
      </c>
      <c r="K23" s="36"/>
    </row>
    <row r="24" spans="1:11" ht="15.75" x14ac:dyDescent="0.25">
      <c r="A24" s="4"/>
      <c r="B24" s="4"/>
      <c r="C24" s="4"/>
      <c r="D24" s="65"/>
      <c r="E24" s="104">
        <v>0</v>
      </c>
      <c r="F24" s="7">
        <v>0</v>
      </c>
      <c r="G24" s="111">
        <f t="shared" si="0"/>
        <v>0</v>
      </c>
      <c r="H24" s="116">
        <v>0</v>
      </c>
      <c r="I24" s="114">
        <f t="shared" si="1"/>
        <v>0</v>
      </c>
      <c r="J24" s="124">
        <f t="shared" si="2"/>
        <v>0</v>
      </c>
      <c r="K24" s="36"/>
    </row>
    <row r="25" spans="1:11" ht="15.75" x14ac:dyDescent="0.25">
      <c r="A25" s="15"/>
      <c r="B25" s="117"/>
      <c r="C25" s="4"/>
      <c r="D25" s="65"/>
      <c r="E25" s="43"/>
      <c r="F25" s="7"/>
      <c r="G25" s="9"/>
      <c r="H25" s="116"/>
      <c r="I25" s="114">
        <f t="shared" si="1"/>
        <v>0</v>
      </c>
      <c r="J25" s="124">
        <f t="shared" si="2"/>
        <v>0</v>
      </c>
      <c r="K25" s="36"/>
    </row>
    <row r="26" spans="1:11" ht="16.5" thickBot="1" x14ac:dyDescent="0.3">
      <c r="A26" s="16"/>
      <c r="B26" s="118"/>
      <c r="C26" s="44"/>
      <c r="D26" s="66"/>
      <c r="E26" s="45"/>
      <c r="F26" s="8"/>
      <c r="G26" s="10"/>
      <c r="H26" s="57"/>
      <c r="I26" s="114">
        <f t="shared" si="1"/>
        <v>0</v>
      </c>
      <c r="J26" s="124">
        <f t="shared" si="2"/>
        <v>0</v>
      </c>
      <c r="K26" s="36"/>
    </row>
    <row r="27" spans="1:11" ht="15.75" thickBot="1" x14ac:dyDescent="0.3">
      <c r="A27" s="83"/>
      <c r="B27" s="84"/>
      <c r="C27" s="84"/>
      <c r="D27" s="85"/>
      <c r="E27" s="21"/>
      <c r="F27" s="22"/>
      <c r="G27" s="33"/>
      <c r="H27" s="58"/>
      <c r="I27" s="60">
        <f>SUM(I16:I26)</f>
        <v>29530.2</v>
      </c>
      <c r="J27" s="59">
        <f>SUM(J16:J26)</f>
        <v>105844.2</v>
      </c>
    </row>
    <row r="28" spans="1:11" x14ac:dyDescent="0.25">
      <c r="A28" s="71"/>
      <c r="B28" s="71"/>
      <c r="C28" s="71"/>
      <c r="D28" s="71"/>
      <c r="E28" s="72"/>
      <c r="F28" s="73"/>
      <c r="G28" s="74"/>
      <c r="H28" s="6"/>
      <c r="I28" s="74"/>
      <c r="J28" s="74"/>
    </row>
    <row r="29" spans="1:11" x14ac:dyDescent="0.25">
      <c r="A29" s="89"/>
      <c r="B29" s="101"/>
      <c r="C29" s="101"/>
      <c r="D29" s="101"/>
      <c r="E29" s="101"/>
      <c r="F29" s="101"/>
      <c r="G29" s="101"/>
      <c r="H29" s="101"/>
      <c r="I29" s="101"/>
      <c r="J29" s="101"/>
    </row>
    <row r="30" spans="1:11" ht="15.75" x14ac:dyDescent="0.25">
      <c r="A30" s="211" t="s">
        <v>53</v>
      </c>
      <c r="B30" s="211"/>
      <c r="C30" s="211"/>
      <c r="D30" s="211"/>
      <c r="E30" s="211"/>
      <c r="F30" s="211"/>
      <c r="G30" s="211"/>
      <c r="H30" s="211"/>
      <c r="I30" s="211"/>
      <c r="J30" s="211"/>
    </row>
    <row r="31" spans="1:11" s="91" customFormat="1" ht="17.25" customHeight="1" thickBot="1" x14ac:dyDescent="0.3">
      <c r="A31" s="77" t="s">
        <v>46</v>
      </c>
      <c r="B31" s="77"/>
      <c r="C31" s="77" t="s">
        <v>6</v>
      </c>
      <c r="D31" s="77" t="s">
        <v>37</v>
      </c>
      <c r="E31" s="78" t="s">
        <v>47</v>
      </c>
      <c r="F31" s="79" t="s">
        <v>48</v>
      </c>
      <c r="G31" s="80" t="s">
        <v>49</v>
      </c>
      <c r="H31" s="77" t="s">
        <v>89</v>
      </c>
      <c r="I31" s="80" t="s">
        <v>50</v>
      </c>
      <c r="J31" s="80" t="s">
        <v>86</v>
      </c>
    </row>
    <row r="32" spans="1:11" x14ac:dyDescent="0.25">
      <c r="A32" s="75" t="s">
        <v>68</v>
      </c>
      <c r="B32" s="75"/>
      <c r="C32" s="75" t="s">
        <v>69</v>
      </c>
      <c r="D32" s="125" t="s">
        <v>24</v>
      </c>
      <c r="E32" s="127">
        <v>35</v>
      </c>
      <c r="F32" s="128">
        <v>25</v>
      </c>
      <c r="G32" s="133">
        <f>SUM(E32*F32)</f>
        <v>875</v>
      </c>
      <c r="H32" s="135">
        <v>0</v>
      </c>
      <c r="I32" s="126">
        <f>SUM(F32*H32)</f>
        <v>0</v>
      </c>
      <c r="J32" s="76">
        <f>SUM(G32+I32)</f>
        <v>875</v>
      </c>
    </row>
    <row r="33" spans="1:19" x14ac:dyDescent="0.25">
      <c r="A33" s="75"/>
      <c r="B33" s="75"/>
      <c r="C33" s="75"/>
      <c r="D33" s="125"/>
      <c r="E33" s="129">
        <v>0</v>
      </c>
      <c r="F33" s="130">
        <v>0</v>
      </c>
      <c r="G33" s="133">
        <f>SUM(E33*F33)</f>
        <v>0</v>
      </c>
      <c r="H33" s="136">
        <v>0</v>
      </c>
      <c r="I33" s="126">
        <f t="shared" ref="I33:I36" si="3">SUM(F33*H33)</f>
        <v>0</v>
      </c>
      <c r="J33" s="76">
        <f t="shared" ref="J33:J36" si="4">SUM(G33:I33)</f>
        <v>0</v>
      </c>
    </row>
    <row r="34" spans="1:19" x14ac:dyDescent="0.25">
      <c r="A34" s="75"/>
      <c r="B34" s="75"/>
      <c r="C34" s="75"/>
      <c r="D34" s="125"/>
      <c r="E34" s="129">
        <v>0</v>
      </c>
      <c r="F34" s="130">
        <v>0</v>
      </c>
      <c r="G34" s="133">
        <f>SUM(E34*F34)</f>
        <v>0</v>
      </c>
      <c r="H34" s="136">
        <v>0</v>
      </c>
      <c r="I34" s="126">
        <f t="shared" si="3"/>
        <v>0</v>
      </c>
      <c r="J34" s="76">
        <f t="shared" si="4"/>
        <v>0</v>
      </c>
    </row>
    <row r="35" spans="1:19" x14ac:dyDescent="0.25">
      <c r="A35" s="75"/>
      <c r="B35" s="75"/>
      <c r="C35" s="75"/>
      <c r="D35" s="125"/>
      <c r="E35" s="129">
        <v>0</v>
      </c>
      <c r="F35" s="130">
        <v>0</v>
      </c>
      <c r="G35" s="133">
        <f>SUM(E35*F35)</f>
        <v>0</v>
      </c>
      <c r="H35" s="136">
        <v>0</v>
      </c>
      <c r="I35" s="126">
        <f t="shared" si="3"/>
        <v>0</v>
      </c>
      <c r="J35" s="76">
        <f t="shared" si="4"/>
        <v>0</v>
      </c>
    </row>
    <row r="36" spans="1:19" x14ac:dyDescent="0.25">
      <c r="A36" s="75"/>
      <c r="B36" s="75"/>
      <c r="C36" s="75"/>
      <c r="D36" s="125"/>
      <c r="E36" s="129">
        <v>0</v>
      </c>
      <c r="F36" s="130">
        <v>0</v>
      </c>
      <c r="G36" s="133">
        <f>SUM(E36*F36)</f>
        <v>0</v>
      </c>
      <c r="H36" s="136">
        <v>0</v>
      </c>
      <c r="I36" s="126">
        <f t="shared" si="3"/>
        <v>0</v>
      </c>
      <c r="J36" s="76">
        <f t="shared" si="4"/>
        <v>0</v>
      </c>
    </row>
    <row r="37" spans="1:19" ht="15.75" thickBot="1" x14ac:dyDescent="0.3">
      <c r="A37" s="137" t="s">
        <v>8</v>
      </c>
      <c r="B37" s="138"/>
      <c r="C37" s="138"/>
      <c r="D37" s="139"/>
      <c r="E37" s="131"/>
      <c r="F37" s="132"/>
      <c r="G37" s="133">
        <f>SUM(G32:G36)</f>
        <v>875</v>
      </c>
      <c r="H37" s="8"/>
      <c r="I37" s="134">
        <f>SUM(I32:I36)</f>
        <v>0</v>
      </c>
      <c r="J37" s="122">
        <f>SUM(J32:J36)</f>
        <v>875</v>
      </c>
    </row>
    <row r="38" spans="1:19" s="6" customFormat="1" x14ac:dyDescent="0.25">
      <c r="A38" s="71"/>
      <c r="B38" s="71"/>
      <c r="C38" s="71"/>
      <c r="D38" s="71"/>
      <c r="E38" s="72"/>
      <c r="F38" s="73"/>
      <c r="G38" s="74"/>
      <c r="I38" s="74"/>
      <c r="J38" s="74"/>
    </row>
    <row r="39" spans="1:19" x14ac:dyDescent="0.25">
      <c r="A39" s="71"/>
      <c r="B39" s="71"/>
      <c r="C39" s="71"/>
      <c r="D39" s="71"/>
      <c r="E39" s="72"/>
      <c r="F39" s="73"/>
      <c r="G39" s="74"/>
      <c r="H39" s="6"/>
      <c r="I39" s="74"/>
      <c r="J39" s="74"/>
    </row>
    <row r="40" spans="1:19" x14ac:dyDescent="0.25">
      <c r="A40" s="5"/>
      <c r="B40" s="5"/>
      <c r="C40" s="5"/>
      <c r="D40" s="5"/>
      <c r="E40" s="6"/>
      <c r="F40" s="6"/>
      <c r="G40" s="6"/>
    </row>
    <row r="41" spans="1:19" s="1" customFormat="1" ht="15.75" x14ac:dyDescent="0.25">
      <c r="A41" s="203" t="s">
        <v>4</v>
      </c>
      <c r="B41" s="203"/>
      <c r="C41" s="203"/>
      <c r="D41" s="203"/>
      <c r="E41" s="203"/>
      <c r="F41" s="203"/>
      <c r="G41" s="203"/>
      <c r="H41" s="203"/>
      <c r="I41" s="203"/>
      <c r="J41" s="203"/>
      <c r="K41" s="35"/>
      <c r="L41" s="35"/>
      <c r="M41" s="35"/>
      <c r="N41" s="35"/>
      <c r="O41" s="35"/>
      <c r="P41" s="35"/>
      <c r="Q41" s="35"/>
      <c r="R41" s="35"/>
      <c r="S41" s="35"/>
    </row>
    <row r="42" spans="1:19" s="40" customFormat="1" ht="15.75" thickBot="1" x14ac:dyDescent="0.3">
      <c r="A42" s="98" t="s">
        <v>10</v>
      </c>
      <c r="B42" s="208" t="s">
        <v>12</v>
      </c>
      <c r="C42" s="208"/>
      <c r="D42" s="98" t="s">
        <v>37</v>
      </c>
      <c r="E42" s="98" t="s">
        <v>73</v>
      </c>
      <c r="F42" s="98" t="s">
        <v>90</v>
      </c>
      <c r="G42" s="98" t="s">
        <v>35</v>
      </c>
      <c r="H42" s="98" t="s">
        <v>74</v>
      </c>
      <c r="I42" s="98" t="s">
        <v>32</v>
      </c>
      <c r="J42" s="144" t="s">
        <v>84</v>
      </c>
      <c r="K42" s="39"/>
      <c r="L42" s="39"/>
      <c r="M42" s="39"/>
      <c r="N42" s="39"/>
      <c r="O42" s="39"/>
      <c r="P42" s="39"/>
      <c r="Q42" s="39"/>
      <c r="R42" s="39"/>
      <c r="S42" s="39"/>
    </row>
    <row r="43" spans="1:19" ht="15.75" thickBot="1" x14ac:dyDescent="0.3">
      <c r="A43" s="46" t="s">
        <v>70</v>
      </c>
      <c r="B43" s="209" t="s">
        <v>71</v>
      </c>
      <c r="C43" s="210"/>
      <c r="D43" s="48" t="s">
        <v>72</v>
      </c>
      <c r="E43" s="18">
        <v>10</v>
      </c>
      <c r="F43" s="11">
        <v>40</v>
      </c>
      <c r="G43" s="42">
        <f>E43*F43</f>
        <v>400</v>
      </c>
      <c r="H43" s="11">
        <v>50</v>
      </c>
      <c r="I43" s="11">
        <v>150</v>
      </c>
      <c r="J43" s="145">
        <f>SUM(G43:H43:I43)</f>
        <v>600</v>
      </c>
    </row>
    <row r="44" spans="1:19" ht="15.75" thickBot="1" x14ac:dyDescent="0.3">
      <c r="A44" s="49" t="s">
        <v>36</v>
      </c>
      <c r="B44" s="204"/>
      <c r="C44" s="205"/>
      <c r="D44" s="50"/>
      <c r="E44" s="19">
        <v>0</v>
      </c>
      <c r="F44" s="12">
        <v>0</v>
      </c>
      <c r="G44" s="42">
        <v>0</v>
      </c>
      <c r="H44" s="19">
        <v>0</v>
      </c>
      <c r="I44" s="12">
        <v>0</v>
      </c>
      <c r="J44" s="145">
        <f>SUM(G44:H44:I44)</f>
        <v>0</v>
      </c>
    </row>
    <row r="45" spans="1:19" ht="15.75" thickBot="1" x14ac:dyDescent="0.3">
      <c r="A45" s="49" t="s">
        <v>36</v>
      </c>
      <c r="B45" s="204"/>
      <c r="C45" s="205"/>
      <c r="D45" s="50"/>
      <c r="E45" s="19">
        <v>0</v>
      </c>
      <c r="F45" s="12">
        <v>0</v>
      </c>
      <c r="G45" s="42">
        <f>E45*F45</f>
        <v>0</v>
      </c>
      <c r="H45" s="19">
        <v>0</v>
      </c>
      <c r="I45" s="12">
        <v>0</v>
      </c>
      <c r="J45" s="145">
        <f>SUM(G45:H45:I45)</f>
        <v>0</v>
      </c>
    </row>
    <row r="46" spans="1:19" ht="15.75" thickBot="1" x14ac:dyDescent="0.3">
      <c r="A46" s="49"/>
      <c r="B46" s="204"/>
      <c r="C46" s="205"/>
      <c r="D46" s="50"/>
      <c r="E46" s="19">
        <v>0</v>
      </c>
      <c r="F46" s="12">
        <v>0</v>
      </c>
      <c r="G46" s="42">
        <f>E46*F46</f>
        <v>0</v>
      </c>
      <c r="H46" s="19">
        <v>0</v>
      </c>
      <c r="I46" s="12">
        <v>0</v>
      </c>
      <c r="J46" s="145">
        <f>SUM(G46:H46:I46)</f>
        <v>0</v>
      </c>
    </row>
    <row r="47" spans="1:19" x14ac:dyDescent="0.25">
      <c r="A47" s="49"/>
      <c r="B47" s="204"/>
      <c r="C47" s="205"/>
      <c r="D47" s="50"/>
      <c r="E47" s="19">
        <v>0</v>
      </c>
      <c r="F47" s="12">
        <v>0</v>
      </c>
      <c r="G47" s="42">
        <f>E47*F47</f>
        <v>0</v>
      </c>
      <c r="H47" s="19">
        <v>0</v>
      </c>
      <c r="I47" s="12">
        <v>0</v>
      </c>
      <c r="J47" s="145">
        <f>SUM(G47:H47:I47)</f>
        <v>0</v>
      </c>
    </row>
    <row r="48" spans="1:19" ht="15.75" thickBot="1" x14ac:dyDescent="0.3">
      <c r="A48" s="86" t="s">
        <v>11</v>
      </c>
      <c r="B48" s="87"/>
      <c r="C48" s="87"/>
      <c r="D48" s="88"/>
      <c r="E48" s="20">
        <v>0</v>
      </c>
      <c r="F48" s="20">
        <v>0</v>
      </c>
      <c r="G48" s="41">
        <f>SUM(G43:G47)</f>
        <v>400</v>
      </c>
      <c r="H48" s="20"/>
      <c r="I48" s="141">
        <f>SUM(I43:I47)</f>
        <v>150</v>
      </c>
      <c r="J48" s="146">
        <f>SUM(J43:J47)</f>
        <v>600</v>
      </c>
    </row>
    <row r="49" spans="1:19" x14ac:dyDescent="0.25">
      <c r="A49" s="6"/>
      <c r="B49" s="6"/>
      <c r="C49" s="6"/>
      <c r="D49" s="6"/>
      <c r="E49" s="6"/>
      <c r="F49" s="6"/>
      <c r="G49" s="6"/>
      <c r="H49" s="6"/>
      <c r="I49" s="6"/>
      <c r="J49" s="6"/>
    </row>
    <row r="51" spans="1:19" s="1" customFormat="1" ht="15.75" x14ac:dyDescent="0.25">
      <c r="A51" s="203" t="s">
        <v>52</v>
      </c>
      <c r="B51" s="203"/>
      <c r="C51" s="203"/>
      <c r="D51" s="203"/>
      <c r="E51" s="203"/>
      <c r="F51" s="203"/>
      <c r="G51" s="203"/>
      <c r="H51" s="203"/>
      <c r="I51" s="203"/>
      <c r="J51" s="203"/>
      <c r="K51" s="35"/>
      <c r="L51" s="35"/>
      <c r="M51" s="35"/>
      <c r="N51" s="35"/>
      <c r="O51" s="35"/>
      <c r="P51" s="35"/>
      <c r="Q51" s="35"/>
      <c r="R51" s="35"/>
      <c r="S51" s="35"/>
    </row>
    <row r="52" spans="1:19" s="40" customFormat="1" ht="15.75" thickBot="1" x14ac:dyDescent="0.3">
      <c r="A52" s="98" t="s">
        <v>5</v>
      </c>
      <c r="B52" s="98" t="s">
        <v>77</v>
      </c>
      <c r="C52" s="98" t="s">
        <v>15</v>
      </c>
      <c r="D52" s="140" t="s">
        <v>17</v>
      </c>
      <c r="E52" s="140"/>
      <c r="F52" s="173"/>
      <c r="G52" s="37" t="s">
        <v>75</v>
      </c>
      <c r="H52" s="23" t="s">
        <v>44</v>
      </c>
      <c r="I52" s="38" t="s">
        <v>32</v>
      </c>
      <c r="J52" s="98" t="s">
        <v>33</v>
      </c>
      <c r="K52" s="39"/>
      <c r="L52" s="39"/>
      <c r="M52" s="39"/>
      <c r="N52" s="39"/>
      <c r="O52" s="39"/>
      <c r="P52" s="39"/>
      <c r="Q52" s="39"/>
      <c r="R52" s="39"/>
      <c r="S52" s="39"/>
    </row>
    <row r="53" spans="1:19" ht="15.75" x14ac:dyDescent="0.25">
      <c r="A53" s="51" t="s">
        <v>13</v>
      </c>
      <c r="B53" s="142" t="s">
        <v>78</v>
      </c>
      <c r="C53" s="47" t="s">
        <v>16</v>
      </c>
      <c r="D53" s="99" t="s">
        <v>38</v>
      </c>
      <c r="E53" s="100"/>
      <c r="F53" s="174"/>
      <c r="G53" s="147" t="s">
        <v>76</v>
      </c>
      <c r="H53" s="150">
        <v>300</v>
      </c>
      <c r="I53" s="151">
        <v>500</v>
      </c>
      <c r="J53" s="153">
        <f>SUM(H53:I53)</f>
        <v>800</v>
      </c>
    </row>
    <row r="54" spans="1:19" ht="15.75" x14ac:dyDescent="0.25">
      <c r="A54" s="52" t="s">
        <v>14</v>
      </c>
      <c r="B54" s="143"/>
      <c r="C54" s="17"/>
      <c r="D54" s="81"/>
      <c r="E54" s="82"/>
      <c r="F54" s="175"/>
      <c r="G54" s="148"/>
      <c r="H54" s="150">
        <v>0</v>
      </c>
      <c r="I54" s="152">
        <v>0</v>
      </c>
      <c r="J54" s="154">
        <f t="shared" ref="J54:J57" si="5">SUM(H54:I54)</f>
        <v>0</v>
      </c>
    </row>
    <row r="55" spans="1:19" ht="15.75" x14ac:dyDescent="0.25">
      <c r="A55" s="52" t="s">
        <v>14</v>
      </c>
      <c r="B55" s="143"/>
      <c r="C55" s="17"/>
      <c r="D55" s="81"/>
      <c r="E55" s="82"/>
      <c r="F55" s="175"/>
      <c r="G55" s="148"/>
      <c r="H55" s="150">
        <v>0</v>
      </c>
      <c r="I55" s="152">
        <v>0</v>
      </c>
      <c r="J55" s="154">
        <f t="shared" si="5"/>
        <v>0</v>
      </c>
    </row>
    <row r="56" spans="1:19" ht="15.75" x14ac:dyDescent="0.25">
      <c r="A56" s="52" t="s">
        <v>14</v>
      </c>
      <c r="B56" s="143"/>
      <c r="C56" s="17"/>
      <c r="D56" s="81"/>
      <c r="E56" s="82"/>
      <c r="F56" s="175"/>
      <c r="G56" s="148"/>
      <c r="H56" s="150">
        <v>0</v>
      </c>
      <c r="I56" s="152">
        <v>0</v>
      </c>
      <c r="J56" s="154">
        <f t="shared" si="5"/>
        <v>0</v>
      </c>
    </row>
    <row r="57" spans="1:19" ht="16.5" thickBot="1" x14ac:dyDescent="0.3">
      <c r="A57" s="52"/>
      <c r="B57" s="143"/>
      <c r="C57" s="17"/>
      <c r="D57" s="81"/>
      <c r="E57" s="82"/>
      <c r="F57" s="175"/>
      <c r="G57" s="148"/>
      <c r="H57" s="150">
        <v>0</v>
      </c>
      <c r="I57" s="152">
        <v>0</v>
      </c>
      <c r="J57" s="154">
        <f t="shared" si="5"/>
        <v>0</v>
      </c>
    </row>
    <row r="58" spans="1:19" ht="16.5" thickBot="1" x14ac:dyDescent="0.3">
      <c r="A58" s="90" t="s">
        <v>11</v>
      </c>
      <c r="B58" s="121"/>
      <c r="C58" s="121"/>
      <c r="D58" s="121"/>
      <c r="E58" s="121"/>
      <c r="F58" s="176"/>
      <c r="G58" s="24"/>
      <c r="H58" s="149"/>
      <c r="I58" s="160">
        <f>SUM(I53:I57)</f>
        <v>500</v>
      </c>
      <c r="J58" s="155">
        <f>SUM(J53:J57)</f>
        <v>800</v>
      </c>
    </row>
    <row r="61" spans="1:19" s="1" customFormat="1" ht="15.75" x14ac:dyDescent="0.25">
      <c r="A61" s="203" t="s">
        <v>54</v>
      </c>
      <c r="B61" s="203"/>
      <c r="C61" s="203"/>
      <c r="D61" s="203"/>
      <c r="E61" s="203"/>
      <c r="F61" s="203"/>
      <c r="G61" s="203"/>
      <c r="H61" s="203"/>
      <c r="I61" s="203"/>
      <c r="J61" s="203"/>
      <c r="K61" s="35"/>
      <c r="L61" s="35"/>
      <c r="M61" s="35"/>
      <c r="N61" s="35"/>
      <c r="O61" s="35"/>
      <c r="P61" s="35"/>
      <c r="Q61" s="35"/>
      <c r="R61" s="35"/>
      <c r="S61" s="35"/>
    </row>
    <row r="62" spans="1:19" s="40" customFormat="1" ht="15.75" thickBot="1" x14ac:dyDescent="0.3">
      <c r="A62" s="98" t="s">
        <v>46</v>
      </c>
      <c r="B62" s="98" t="s">
        <v>80</v>
      </c>
      <c r="C62" s="98" t="s">
        <v>19</v>
      </c>
      <c r="D62" s="98" t="s">
        <v>20</v>
      </c>
      <c r="E62" s="98" t="s">
        <v>21</v>
      </c>
      <c r="F62" s="98" t="s">
        <v>22</v>
      </c>
      <c r="G62" s="98" t="s">
        <v>23</v>
      </c>
      <c r="H62" s="98" t="s">
        <v>83</v>
      </c>
      <c r="I62" s="98" t="s">
        <v>32</v>
      </c>
      <c r="J62" s="98" t="s">
        <v>87</v>
      </c>
      <c r="K62" s="39"/>
      <c r="L62" s="39"/>
      <c r="M62" s="39"/>
      <c r="N62" s="39"/>
      <c r="O62" s="39"/>
      <c r="P62" s="39"/>
      <c r="Q62" s="39"/>
    </row>
    <row r="63" spans="1:19" x14ac:dyDescent="0.25">
      <c r="A63" s="46" t="s">
        <v>68</v>
      </c>
      <c r="B63" s="119" t="s">
        <v>18</v>
      </c>
      <c r="C63" s="47" t="s">
        <v>81</v>
      </c>
      <c r="D63" s="47" t="s">
        <v>82</v>
      </c>
      <c r="E63" s="53">
        <v>44859</v>
      </c>
      <c r="F63" s="11">
        <v>560</v>
      </c>
      <c r="G63" s="27">
        <v>175</v>
      </c>
      <c r="H63" s="156">
        <v>650</v>
      </c>
      <c r="I63" s="162">
        <v>100</v>
      </c>
      <c r="J63" s="163">
        <f>SUM(F63:I63)</f>
        <v>1485</v>
      </c>
    </row>
    <row r="64" spans="1:19" x14ac:dyDescent="0.25">
      <c r="A64" s="49" t="s">
        <v>88</v>
      </c>
      <c r="B64" s="120"/>
      <c r="C64" s="17"/>
      <c r="D64" s="17"/>
      <c r="E64" s="17"/>
      <c r="F64" s="12">
        <v>0</v>
      </c>
      <c r="G64" s="28">
        <v>0</v>
      </c>
      <c r="H64" s="157">
        <v>0</v>
      </c>
      <c r="I64" s="164">
        <v>0</v>
      </c>
      <c r="J64" s="165">
        <f t="shared" ref="J64:J67" si="6">SUM(F64:I64)</f>
        <v>0</v>
      </c>
    </row>
    <row r="65" spans="1:10" x14ac:dyDescent="0.25">
      <c r="A65" s="49" t="s">
        <v>88</v>
      </c>
      <c r="B65" s="120"/>
      <c r="C65" s="17"/>
      <c r="D65" s="17"/>
      <c r="E65" s="17"/>
      <c r="F65" s="12">
        <v>0</v>
      </c>
      <c r="G65" s="28">
        <v>0</v>
      </c>
      <c r="H65" s="157">
        <v>0</v>
      </c>
      <c r="I65" s="164">
        <v>0</v>
      </c>
      <c r="J65" s="165">
        <f t="shared" si="6"/>
        <v>0</v>
      </c>
    </row>
    <row r="66" spans="1:10" x14ac:dyDescent="0.25">
      <c r="A66" s="49" t="s">
        <v>88</v>
      </c>
      <c r="B66" s="120"/>
      <c r="C66" s="17"/>
      <c r="D66" s="17"/>
      <c r="E66" s="17"/>
      <c r="F66" s="12">
        <v>0</v>
      </c>
      <c r="G66" s="28">
        <v>0</v>
      </c>
      <c r="H66" s="157">
        <v>0</v>
      </c>
      <c r="I66" s="164">
        <v>0</v>
      </c>
      <c r="J66" s="165">
        <f t="shared" si="6"/>
        <v>0</v>
      </c>
    </row>
    <row r="67" spans="1:10" x14ac:dyDescent="0.25">
      <c r="A67" s="26" t="s">
        <v>88</v>
      </c>
      <c r="B67" s="26"/>
      <c r="C67" s="26"/>
      <c r="D67" s="26"/>
      <c r="E67" s="26"/>
      <c r="F67" s="25"/>
      <c r="G67" s="29"/>
      <c r="H67" s="158">
        <v>0</v>
      </c>
      <c r="I67" s="166">
        <v>0</v>
      </c>
      <c r="J67" s="167">
        <f t="shared" si="6"/>
        <v>0</v>
      </c>
    </row>
    <row r="68" spans="1:10" s="1" customFormat="1" x14ac:dyDescent="0.25">
      <c r="A68" s="168" t="s">
        <v>8</v>
      </c>
      <c r="B68" s="169"/>
      <c r="C68" s="169"/>
      <c r="D68" s="169"/>
      <c r="E68" s="169"/>
      <c r="F68" s="169"/>
      <c r="G68" s="169"/>
      <c r="H68" s="170"/>
      <c r="I68" s="159">
        <f>SUM(I63:I67)</f>
        <v>100</v>
      </c>
      <c r="J68" s="161">
        <f>SUM(J63:J67)</f>
        <v>1485</v>
      </c>
    </row>
    <row r="69" spans="1:10" x14ac:dyDescent="0.25">
      <c r="A69" s="1"/>
      <c r="B69" s="1"/>
      <c r="C69" s="1"/>
      <c r="D69" s="1"/>
      <c r="E69" s="1"/>
      <c r="F69" s="1"/>
    </row>
    <row r="71" spans="1:10" x14ac:dyDescent="0.25">
      <c r="A71" s="64" t="s">
        <v>79</v>
      </c>
      <c r="B71" s="64"/>
    </row>
  </sheetData>
  <mergeCells count="17">
    <mergeCell ref="B9:C9"/>
    <mergeCell ref="E1:I4"/>
    <mergeCell ref="D5:J6"/>
    <mergeCell ref="D7:J9"/>
    <mergeCell ref="A1:C1"/>
    <mergeCell ref="A61:J61"/>
    <mergeCell ref="A51:J51"/>
    <mergeCell ref="B44:C44"/>
    <mergeCell ref="A41:J41"/>
    <mergeCell ref="B8:C8"/>
    <mergeCell ref="B42:C42"/>
    <mergeCell ref="B45:C45"/>
    <mergeCell ref="B46:C46"/>
    <mergeCell ref="B47:C47"/>
    <mergeCell ref="B43:C43"/>
    <mergeCell ref="A14:J14"/>
    <mergeCell ref="A30:J30"/>
  </mergeCells>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88F4-D09E-4BCE-9B87-83DEA41AEF57}">
  <dimension ref="A1:V71"/>
  <sheetViews>
    <sheetView zoomScale="98" zoomScaleNormal="98" workbookViewId="0">
      <selection activeCell="E1" sqref="E1:J1"/>
    </sheetView>
  </sheetViews>
  <sheetFormatPr defaultRowHeight="15" x14ac:dyDescent="0.25"/>
  <cols>
    <col min="1" max="1" width="23.85546875" customWidth="1"/>
    <col min="2" max="2" width="19.42578125" customWidth="1"/>
    <col min="3" max="3" width="24.85546875" customWidth="1"/>
    <col min="4" max="4" width="20.42578125" customWidth="1"/>
    <col min="5" max="5" width="17.140625" customWidth="1"/>
    <col min="6" max="6" width="12.85546875" customWidth="1"/>
    <col min="7" max="7" width="15.42578125" customWidth="1"/>
    <col min="8" max="8" width="19.85546875" customWidth="1"/>
    <col min="9" max="9" width="16.7109375" customWidth="1"/>
    <col min="10" max="10" width="19.42578125" customWidth="1"/>
    <col min="11" max="11" width="20.28515625" customWidth="1"/>
    <col min="12" max="12" width="15.42578125" customWidth="1"/>
    <col min="13" max="13" width="21" customWidth="1"/>
  </cols>
  <sheetData>
    <row r="1" spans="1:22" ht="23.25" x14ac:dyDescent="0.35">
      <c r="A1" s="202" t="s">
        <v>31</v>
      </c>
      <c r="B1" s="202"/>
      <c r="C1" s="202"/>
      <c r="D1" s="177"/>
      <c r="E1" s="251" t="s">
        <v>51</v>
      </c>
      <c r="F1" s="251"/>
      <c r="G1" s="251"/>
      <c r="H1" s="251"/>
      <c r="I1" s="251"/>
      <c r="J1" s="251"/>
    </row>
    <row r="2" spans="1:22" x14ac:dyDescent="0.25">
      <c r="A2" s="14" t="s">
        <v>1</v>
      </c>
      <c r="B2" s="239" t="s">
        <v>27</v>
      </c>
      <c r="C2" s="240"/>
      <c r="E2" s="250" t="s">
        <v>93</v>
      </c>
      <c r="F2" s="250"/>
      <c r="G2" s="250"/>
      <c r="H2" s="250"/>
      <c r="I2" s="250"/>
      <c r="J2" s="250"/>
      <c r="K2" s="63"/>
    </row>
    <row r="3" spans="1:22" ht="15.75" x14ac:dyDescent="0.25">
      <c r="A3" s="13" t="s">
        <v>55</v>
      </c>
      <c r="B3" s="241" t="s">
        <v>56</v>
      </c>
      <c r="C3" s="242"/>
      <c r="D3" s="31"/>
      <c r="E3" s="249" t="s">
        <v>91</v>
      </c>
      <c r="F3" s="249"/>
      <c r="G3" s="249"/>
      <c r="H3" s="249"/>
      <c r="I3" s="249"/>
      <c r="J3" s="249"/>
      <c r="K3" s="63"/>
    </row>
    <row r="4" spans="1:22" x14ac:dyDescent="0.25">
      <c r="A4" s="13" t="s">
        <v>2</v>
      </c>
      <c r="B4" s="241" t="s">
        <v>28</v>
      </c>
      <c r="C4" s="242"/>
      <c r="D4" s="31"/>
      <c r="K4" s="63"/>
    </row>
    <row r="5" spans="1:22" x14ac:dyDescent="0.25">
      <c r="A5" s="13" t="s">
        <v>0</v>
      </c>
      <c r="B5" s="241" t="s">
        <v>29</v>
      </c>
      <c r="C5" s="242"/>
      <c r="D5" s="31"/>
      <c r="K5" s="63"/>
    </row>
    <row r="6" spans="1:22" x14ac:dyDescent="0.25">
      <c r="A6" s="13" t="s">
        <v>57</v>
      </c>
      <c r="B6" s="178" t="s">
        <v>61</v>
      </c>
      <c r="C6" s="179"/>
      <c r="D6" s="31"/>
      <c r="K6" s="63"/>
    </row>
    <row r="7" spans="1:22" x14ac:dyDescent="0.25">
      <c r="A7" s="13" t="s">
        <v>7</v>
      </c>
      <c r="B7" s="243" t="s">
        <v>30</v>
      </c>
      <c r="C7" s="244"/>
      <c r="D7" s="31"/>
      <c r="K7" s="63"/>
    </row>
    <row r="8" spans="1:22" x14ac:dyDescent="0.25">
      <c r="A8" s="62" t="s">
        <v>25</v>
      </c>
      <c r="B8" s="245">
        <f>SUM(J27+J37+J48+J58+J68)</f>
        <v>0</v>
      </c>
      <c r="C8" s="246"/>
      <c r="D8" s="31"/>
    </row>
    <row r="9" spans="1:22" x14ac:dyDescent="0.25">
      <c r="A9" s="61" t="s">
        <v>3</v>
      </c>
      <c r="B9" s="247">
        <f>SUM(I27+I37+I48+I58+I68)</f>
        <v>0</v>
      </c>
      <c r="C9" s="248"/>
      <c r="D9" s="32" t="s">
        <v>34</v>
      </c>
    </row>
    <row r="10" spans="1:22" s="56" customFormat="1" x14ac:dyDescent="0.25">
      <c r="A10" s="34"/>
      <c r="B10" s="34"/>
      <c r="C10" s="54"/>
      <c r="D10" s="55"/>
      <c r="E10" s="32"/>
    </row>
    <row r="11" spans="1:22" ht="11.25" customHeight="1" x14ac:dyDescent="0.25">
      <c r="A11" s="34"/>
      <c r="B11" s="34"/>
      <c r="C11" s="5"/>
      <c r="D11" s="5"/>
      <c r="E11" s="32"/>
    </row>
    <row r="12" spans="1:22" s="56" customFormat="1" ht="21.75" customHeight="1" x14ac:dyDescent="0.25">
      <c r="A12" s="238" t="s">
        <v>92</v>
      </c>
      <c r="B12" s="238"/>
      <c r="C12" s="238"/>
      <c r="D12" s="238"/>
      <c r="E12" s="238"/>
      <c r="F12" s="238"/>
      <c r="G12" s="238"/>
      <c r="H12" s="238"/>
      <c r="I12" s="238"/>
      <c r="J12" s="238"/>
      <c r="K12" s="238"/>
      <c r="L12" s="238"/>
      <c r="M12" s="238"/>
    </row>
    <row r="13" spans="1:22" x14ac:dyDescent="0.25">
      <c r="A13" s="230" t="s">
        <v>105</v>
      </c>
      <c r="B13" s="231"/>
      <c r="C13" s="231"/>
      <c r="D13" s="231"/>
      <c r="E13" s="231"/>
      <c r="F13" s="231"/>
      <c r="G13" s="231"/>
      <c r="H13" s="231"/>
      <c r="I13" s="231"/>
      <c r="J13" s="231"/>
      <c r="K13" s="68"/>
      <c r="L13" s="68"/>
      <c r="M13" s="68"/>
    </row>
    <row r="14" spans="1:22" s="1" customFormat="1" ht="15.75" x14ac:dyDescent="0.25">
      <c r="A14" s="211" t="s">
        <v>39</v>
      </c>
      <c r="B14" s="211"/>
      <c r="C14" s="211"/>
      <c r="D14" s="211"/>
      <c r="E14" s="211"/>
      <c r="F14" s="211"/>
      <c r="G14" s="211"/>
      <c r="H14" s="211"/>
      <c r="I14" s="211"/>
      <c r="J14" s="211"/>
      <c r="K14" s="67"/>
      <c r="L14" s="67"/>
      <c r="M14" s="67"/>
      <c r="N14" s="35"/>
      <c r="O14" s="35"/>
      <c r="P14" s="35"/>
      <c r="Q14" s="35"/>
      <c r="R14" s="35"/>
      <c r="S14" s="35"/>
      <c r="T14" s="35"/>
      <c r="U14" s="35"/>
      <c r="V14" s="35"/>
    </row>
    <row r="15" spans="1:22" s="40" customFormat="1" ht="15.75" thickBot="1" x14ac:dyDescent="0.3">
      <c r="A15" s="98" t="s">
        <v>58</v>
      </c>
      <c r="B15" s="98" t="s">
        <v>60</v>
      </c>
      <c r="C15" s="98" t="s">
        <v>59</v>
      </c>
      <c r="D15" s="98" t="s">
        <v>41</v>
      </c>
      <c r="E15" s="98" t="s">
        <v>42</v>
      </c>
      <c r="F15" s="98" t="s">
        <v>43</v>
      </c>
      <c r="G15" s="98" t="s">
        <v>44</v>
      </c>
      <c r="H15" s="183" t="s">
        <v>32</v>
      </c>
      <c r="I15" s="98" t="s">
        <v>9</v>
      </c>
      <c r="J15" s="98" t="s">
        <v>85</v>
      </c>
      <c r="K15" s="39"/>
      <c r="L15" s="39"/>
      <c r="M15" s="39"/>
      <c r="N15" s="39"/>
      <c r="O15" s="39"/>
      <c r="P15" s="39"/>
      <c r="Q15" s="39"/>
      <c r="R15" s="39"/>
      <c r="S15" s="39"/>
    </row>
    <row r="16" spans="1:22" ht="15.75" x14ac:dyDescent="0.25">
      <c r="A16" s="4" t="s">
        <v>40</v>
      </c>
      <c r="B16" s="4" t="s">
        <v>62</v>
      </c>
      <c r="C16" s="4" t="s">
        <v>65</v>
      </c>
      <c r="D16" s="4" t="s">
        <v>45</v>
      </c>
      <c r="E16" s="69">
        <v>0</v>
      </c>
      <c r="F16" s="105">
        <v>0</v>
      </c>
      <c r="G16" s="108">
        <f t="shared" ref="G16:G24" si="0">SUM(E16*F16)</f>
        <v>0</v>
      </c>
      <c r="H16" s="115">
        <v>0</v>
      </c>
      <c r="I16" s="112">
        <f>SUM(F16*H16)</f>
        <v>0</v>
      </c>
      <c r="J16" s="123">
        <f>SUM(G16+I16)</f>
        <v>0</v>
      </c>
      <c r="K16" s="36"/>
    </row>
    <row r="17" spans="1:11" ht="15.75" x14ac:dyDescent="0.25">
      <c r="A17" s="4" t="s">
        <v>40</v>
      </c>
      <c r="B17" s="4" t="s">
        <v>63</v>
      </c>
      <c r="C17" s="4" t="s">
        <v>66</v>
      </c>
      <c r="D17" s="4" t="s">
        <v>45</v>
      </c>
      <c r="E17" s="69">
        <v>0</v>
      </c>
      <c r="F17" s="106">
        <v>0</v>
      </c>
      <c r="G17" s="109">
        <f t="shared" si="0"/>
        <v>0</v>
      </c>
      <c r="H17" s="116">
        <v>0</v>
      </c>
      <c r="I17" s="113">
        <f t="shared" ref="I17:I26" si="1">SUM(F17*H17)</f>
        <v>0</v>
      </c>
      <c r="J17" s="124">
        <f t="shared" ref="J17:J26" si="2">SUM(G17+I17)</f>
        <v>0</v>
      </c>
      <c r="K17" s="36"/>
    </row>
    <row r="18" spans="1:11" ht="15.75" x14ac:dyDescent="0.25">
      <c r="A18" s="4" t="s">
        <v>40</v>
      </c>
      <c r="B18" s="4" t="s">
        <v>64</v>
      </c>
      <c r="C18" s="4" t="s">
        <v>67</v>
      </c>
      <c r="D18" s="4" t="s">
        <v>45</v>
      </c>
      <c r="E18" s="69">
        <v>0</v>
      </c>
      <c r="F18" s="106">
        <v>0</v>
      </c>
      <c r="G18" s="109">
        <f t="shared" si="0"/>
        <v>0</v>
      </c>
      <c r="H18" s="116">
        <v>0</v>
      </c>
      <c r="I18" s="113">
        <f t="shared" si="1"/>
        <v>0</v>
      </c>
      <c r="J18" s="124">
        <f t="shared" si="2"/>
        <v>0</v>
      </c>
      <c r="K18" s="36"/>
    </row>
    <row r="19" spans="1:11" ht="15.75" x14ac:dyDescent="0.25">
      <c r="A19" s="4"/>
      <c r="B19" s="4"/>
      <c r="C19" s="4"/>
      <c r="D19" s="65"/>
      <c r="E19" s="70">
        <v>0</v>
      </c>
      <c r="F19" s="106">
        <v>0</v>
      </c>
      <c r="G19" s="109">
        <f t="shared" si="0"/>
        <v>0</v>
      </c>
      <c r="H19" s="116">
        <v>0</v>
      </c>
      <c r="I19" s="113">
        <f t="shared" si="1"/>
        <v>0</v>
      </c>
      <c r="J19" s="124">
        <f t="shared" si="2"/>
        <v>0</v>
      </c>
      <c r="K19" s="36"/>
    </row>
    <row r="20" spans="1:11" ht="15.75" x14ac:dyDescent="0.25">
      <c r="A20" s="4"/>
      <c r="B20" s="4"/>
      <c r="C20" s="4"/>
      <c r="D20" s="65"/>
      <c r="E20" s="70">
        <v>0</v>
      </c>
      <c r="F20" s="106">
        <v>0</v>
      </c>
      <c r="G20" s="109">
        <f t="shared" si="0"/>
        <v>0</v>
      </c>
      <c r="H20" s="116">
        <v>0</v>
      </c>
      <c r="I20" s="113">
        <f t="shared" si="1"/>
        <v>0</v>
      </c>
      <c r="J20" s="124">
        <f t="shared" si="2"/>
        <v>0</v>
      </c>
      <c r="K20" s="36"/>
    </row>
    <row r="21" spans="1:11" ht="15.75" x14ac:dyDescent="0.25">
      <c r="A21" s="4"/>
      <c r="B21" s="4"/>
      <c r="C21" s="4"/>
      <c r="D21" s="65"/>
      <c r="E21" s="70">
        <v>0</v>
      </c>
      <c r="F21" s="106">
        <v>0</v>
      </c>
      <c r="G21" s="109">
        <f t="shared" si="0"/>
        <v>0</v>
      </c>
      <c r="H21" s="116">
        <v>0</v>
      </c>
      <c r="I21" s="113">
        <f t="shared" si="1"/>
        <v>0</v>
      </c>
      <c r="J21" s="124">
        <f t="shared" si="2"/>
        <v>0</v>
      </c>
      <c r="K21" s="36"/>
    </row>
    <row r="22" spans="1:11" ht="15.75" x14ac:dyDescent="0.25">
      <c r="A22" s="4"/>
      <c r="B22" s="4"/>
      <c r="C22" s="4"/>
      <c r="D22" s="65"/>
      <c r="E22" s="70">
        <v>0</v>
      </c>
      <c r="F22" s="106">
        <v>0</v>
      </c>
      <c r="G22" s="110">
        <f t="shared" si="0"/>
        <v>0</v>
      </c>
      <c r="H22" s="116">
        <v>0</v>
      </c>
      <c r="I22" s="113">
        <f t="shared" si="1"/>
        <v>0</v>
      </c>
      <c r="J22" s="124">
        <f t="shared" si="2"/>
        <v>0</v>
      </c>
      <c r="K22" s="36"/>
    </row>
    <row r="23" spans="1:11" ht="15.75" x14ac:dyDescent="0.25">
      <c r="A23" s="4"/>
      <c r="B23" s="4"/>
      <c r="C23" s="4"/>
      <c r="D23" s="65"/>
      <c r="E23" s="70">
        <v>0</v>
      </c>
      <c r="F23" s="107">
        <v>0</v>
      </c>
      <c r="G23" s="111">
        <f t="shared" si="0"/>
        <v>0</v>
      </c>
      <c r="H23" s="116">
        <v>0</v>
      </c>
      <c r="I23" s="113">
        <f t="shared" si="1"/>
        <v>0</v>
      </c>
      <c r="J23" s="124">
        <f t="shared" si="2"/>
        <v>0</v>
      </c>
      <c r="K23" s="36"/>
    </row>
    <row r="24" spans="1:11" ht="15.75" x14ac:dyDescent="0.25">
      <c r="A24" s="4"/>
      <c r="B24" s="4"/>
      <c r="C24" s="4"/>
      <c r="D24" s="65"/>
      <c r="E24" s="104">
        <v>0</v>
      </c>
      <c r="F24" s="7">
        <v>0</v>
      </c>
      <c r="G24" s="111">
        <f t="shared" si="0"/>
        <v>0</v>
      </c>
      <c r="H24" s="116">
        <v>0</v>
      </c>
      <c r="I24" s="114">
        <f t="shared" si="1"/>
        <v>0</v>
      </c>
      <c r="J24" s="124">
        <f t="shared" si="2"/>
        <v>0</v>
      </c>
      <c r="K24" s="36"/>
    </row>
    <row r="25" spans="1:11" ht="15.75" x14ac:dyDescent="0.25">
      <c r="A25" s="15"/>
      <c r="B25" s="117"/>
      <c r="C25" s="4"/>
      <c r="D25" s="65"/>
      <c r="E25" s="43"/>
      <c r="F25" s="7"/>
      <c r="G25" s="9"/>
      <c r="H25" s="116"/>
      <c r="I25" s="114">
        <f t="shared" si="1"/>
        <v>0</v>
      </c>
      <c r="J25" s="124">
        <f t="shared" si="2"/>
        <v>0</v>
      </c>
      <c r="K25" s="36"/>
    </row>
    <row r="26" spans="1:11" ht="16.5" thickBot="1" x14ac:dyDescent="0.3">
      <c r="A26" s="16"/>
      <c r="B26" s="118"/>
      <c r="C26" s="44"/>
      <c r="D26" s="66"/>
      <c r="E26" s="45"/>
      <c r="F26" s="8"/>
      <c r="G26" s="10"/>
      <c r="H26" s="57"/>
      <c r="I26" s="114">
        <f t="shared" si="1"/>
        <v>0</v>
      </c>
      <c r="J26" s="124">
        <f t="shared" si="2"/>
        <v>0</v>
      </c>
      <c r="K26" s="36"/>
    </row>
    <row r="27" spans="1:11" ht="15.75" thickBot="1" x14ac:dyDescent="0.3">
      <c r="A27" s="232"/>
      <c r="B27" s="233"/>
      <c r="C27" s="233"/>
      <c r="D27" s="234"/>
      <c r="E27" s="21"/>
      <c r="F27" s="22"/>
      <c r="G27" s="33"/>
      <c r="H27" s="58"/>
      <c r="I27" s="60">
        <f>SUM(I16:I26)</f>
        <v>0</v>
      </c>
      <c r="J27" s="59">
        <f>SUM(J16:J26)</f>
        <v>0</v>
      </c>
    </row>
    <row r="28" spans="1:11" x14ac:dyDescent="0.25">
      <c r="A28" s="71"/>
      <c r="B28" s="71"/>
      <c r="C28" s="71"/>
      <c r="D28" s="71"/>
      <c r="E28" s="72"/>
      <c r="F28" s="73"/>
      <c r="G28" s="74"/>
      <c r="H28" s="6"/>
      <c r="I28" s="74"/>
      <c r="J28" s="74"/>
    </row>
    <row r="29" spans="1:11" x14ac:dyDescent="0.25">
      <c r="A29" s="230"/>
      <c r="B29" s="231"/>
      <c r="C29" s="231"/>
      <c r="D29" s="231"/>
      <c r="E29" s="231"/>
      <c r="F29" s="231"/>
      <c r="G29" s="231"/>
      <c r="H29" s="231"/>
      <c r="I29" s="231"/>
      <c r="J29" s="231"/>
    </row>
    <row r="30" spans="1:11" ht="15.75" x14ac:dyDescent="0.25">
      <c r="A30" s="211" t="s">
        <v>53</v>
      </c>
      <c r="B30" s="211"/>
      <c r="C30" s="211"/>
      <c r="D30" s="211"/>
      <c r="E30" s="211"/>
      <c r="F30" s="211"/>
      <c r="G30" s="211"/>
      <c r="H30" s="211"/>
      <c r="I30" s="211"/>
      <c r="J30" s="211"/>
    </row>
    <row r="31" spans="1:11" s="188" customFormat="1" ht="17.25" customHeight="1" thickBot="1" x14ac:dyDescent="0.3">
      <c r="A31" s="184" t="s">
        <v>46</v>
      </c>
      <c r="B31" s="184"/>
      <c r="C31" s="184" t="s">
        <v>6</v>
      </c>
      <c r="D31" s="184" t="s">
        <v>37</v>
      </c>
      <c r="E31" s="185" t="s">
        <v>47</v>
      </c>
      <c r="F31" s="186" t="s">
        <v>48</v>
      </c>
      <c r="G31" s="187" t="s">
        <v>49</v>
      </c>
      <c r="H31" s="184" t="s">
        <v>89</v>
      </c>
      <c r="I31" s="187" t="s">
        <v>50</v>
      </c>
      <c r="J31" s="187" t="s">
        <v>86</v>
      </c>
    </row>
    <row r="32" spans="1:11" x14ac:dyDescent="0.25">
      <c r="A32" s="190" t="s">
        <v>46</v>
      </c>
      <c r="B32" s="190"/>
      <c r="C32" s="190" t="s">
        <v>6</v>
      </c>
      <c r="D32" s="191" t="s">
        <v>100</v>
      </c>
      <c r="E32" s="127">
        <v>0</v>
      </c>
      <c r="F32" s="128">
        <v>0</v>
      </c>
      <c r="G32" s="133">
        <f>SUM(E32*F32)</f>
        <v>0</v>
      </c>
      <c r="H32" s="135">
        <v>0</v>
      </c>
      <c r="I32" s="126">
        <f>SUM(F32*H32)</f>
        <v>0</v>
      </c>
      <c r="J32" s="76">
        <f>SUM(G32+I32)</f>
        <v>0</v>
      </c>
    </row>
    <row r="33" spans="1:19" x14ac:dyDescent="0.25">
      <c r="A33" s="75"/>
      <c r="B33" s="75"/>
      <c r="C33" s="75"/>
      <c r="D33" s="125"/>
      <c r="E33" s="129">
        <v>0</v>
      </c>
      <c r="F33" s="130">
        <v>0</v>
      </c>
      <c r="G33" s="133">
        <f>SUM(E33*F33)</f>
        <v>0</v>
      </c>
      <c r="H33" s="136">
        <v>0</v>
      </c>
      <c r="I33" s="126">
        <f t="shared" ref="I33:I36" si="3">SUM(F33*H33)</f>
        <v>0</v>
      </c>
      <c r="J33" s="76">
        <f t="shared" ref="J33:J36" si="4">SUM(G33:I33)</f>
        <v>0</v>
      </c>
    </row>
    <row r="34" spans="1:19" x14ac:dyDescent="0.25">
      <c r="A34" s="75"/>
      <c r="B34" s="75"/>
      <c r="C34" s="75"/>
      <c r="D34" s="125"/>
      <c r="E34" s="129">
        <v>0</v>
      </c>
      <c r="F34" s="130">
        <v>0</v>
      </c>
      <c r="G34" s="133">
        <f>SUM(E34*F34)</f>
        <v>0</v>
      </c>
      <c r="H34" s="136">
        <v>0</v>
      </c>
      <c r="I34" s="126">
        <f t="shared" si="3"/>
        <v>0</v>
      </c>
      <c r="J34" s="76">
        <f t="shared" si="4"/>
        <v>0</v>
      </c>
    </row>
    <row r="35" spans="1:19" x14ac:dyDescent="0.25">
      <c r="A35" s="75"/>
      <c r="B35" s="75"/>
      <c r="C35" s="75"/>
      <c r="D35" s="125"/>
      <c r="E35" s="129">
        <v>0</v>
      </c>
      <c r="F35" s="130">
        <v>0</v>
      </c>
      <c r="G35" s="133">
        <f>SUM(E35*F35)</f>
        <v>0</v>
      </c>
      <c r="H35" s="136">
        <v>0</v>
      </c>
      <c r="I35" s="126">
        <f t="shared" si="3"/>
        <v>0</v>
      </c>
      <c r="J35" s="76">
        <f t="shared" si="4"/>
        <v>0</v>
      </c>
    </row>
    <row r="36" spans="1:19" x14ac:dyDescent="0.25">
      <c r="A36" s="75"/>
      <c r="B36" s="75"/>
      <c r="C36" s="75"/>
      <c r="D36" s="125"/>
      <c r="E36" s="129">
        <v>0</v>
      </c>
      <c r="F36" s="130">
        <v>0</v>
      </c>
      <c r="G36" s="133">
        <f>SUM(E36*F36)</f>
        <v>0</v>
      </c>
      <c r="H36" s="136">
        <v>0</v>
      </c>
      <c r="I36" s="126">
        <f t="shared" si="3"/>
        <v>0</v>
      </c>
      <c r="J36" s="76">
        <f t="shared" si="4"/>
        <v>0</v>
      </c>
    </row>
    <row r="37" spans="1:19" ht="15.75" thickBot="1" x14ac:dyDescent="0.3">
      <c r="A37" s="235" t="s">
        <v>8</v>
      </c>
      <c r="B37" s="236"/>
      <c r="C37" s="236"/>
      <c r="D37" s="237"/>
      <c r="E37" s="131"/>
      <c r="F37" s="132"/>
      <c r="G37" s="133">
        <f>SUM(G32:G36)</f>
        <v>0</v>
      </c>
      <c r="H37" s="8"/>
      <c r="I37" s="134">
        <f>SUM(I32:I36)</f>
        <v>0</v>
      </c>
      <c r="J37" s="122">
        <f>SUM(J32:J36)</f>
        <v>0</v>
      </c>
    </row>
    <row r="38" spans="1:19" s="6" customFormat="1" x14ac:dyDescent="0.25">
      <c r="A38" s="71"/>
      <c r="B38" s="71"/>
      <c r="C38" s="71"/>
      <c r="D38" s="71"/>
      <c r="E38" s="72"/>
      <c r="F38" s="73"/>
      <c r="G38" s="74"/>
      <c r="I38" s="74"/>
      <c r="J38" s="74"/>
    </row>
    <row r="39" spans="1:19" x14ac:dyDescent="0.25">
      <c r="A39" s="71"/>
      <c r="B39" s="71"/>
      <c r="C39" s="71"/>
      <c r="D39" s="71"/>
      <c r="E39" s="72"/>
      <c r="F39" s="73"/>
      <c r="G39" s="74"/>
      <c r="H39" s="6"/>
      <c r="I39" s="74"/>
      <c r="J39" s="74"/>
    </row>
    <row r="40" spans="1:19" x14ac:dyDescent="0.25">
      <c r="A40" s="5"/>
      <c r="B40" s="5"/>
      <c r="C40" s="5"/>
      <c r="D40" s="5"/>
      <c r="E40" s="6"/>
      <c r="F40" s="6"/>
      <c r="G40" s="6"/>
    </row>
    <row r="41" spans="1:19" s="1" customFormat="1" ht="15.75" x14ac:dyDescent="0.25">
      <c r="A41" s="203" t="s">
        <v>4</v>
      </c>
      <c r="B41" s="203"/>
      <c r="C41" s="203"/>
      <c r="D41" s="203"/>
      <c r="E41" s="203"/>
      <c r="F41" s="203"/>
      <c r="G41" s="203"/>
      <c r="H41" s="203"/>
      <c r="I41" s="203"/>
      <c r="J41" s="203"/>
      <c r="K41" s="35"/>
      <c r="L41" s="35"/>
      <c r="M41" s="35"/>
      <c r="N41" s="35"/>
      <c r="O41" s="35"/>
      <c r="P41" s="35"/>
      <c r="Q41" s="35"/>
      <c r="R41" s="35"/>
      <c r="S41" s="35"/>
    </row>
    <row r="42" spans="1:19" s="40" customFormat="1" ht="15.75" thickBot="1" x14ac:dyDescent="0.3">
      <c r="A42" s="98" t="s">
        <v>10</v>
      </c>
      <c r="B42" s="208" t="s">
        <v>12</v>
      </c>
      <c r="C42" s="208"/>
      <c r="D42" s="98" t="s">
        <v>37</v>
      </c>
      <c r="E42" s="98" t="s">
        <v>73</v>
      </c>
      <c r="F42" s="98" t="s">
        <v>90</v>
      </c>
      <c r="G42" s="98" t="s">
        <v>35</v>
      </c>
      <c r="H42" s="98" t="s">
        <v>74</v>
      </c>
      <c r="I42" s="98" t="s">
        <v>32</v>
      </c>
      <c r="J42" s="144" t="s">
        <v>84</v>
      </c>
      <c r="K42" s="39"/>
      <c r="L42" s="39"/>
      <c r="M42" s="39"/>
      <c r="N42" s="39"/>
      <c r="O42" s="39"/>
      <c r="P42" s="39"/>
      <c r="Q42" s="39"/>
      <c r="R42" s="39"/>
      <c r="S42" s="39"/>
    </row>
    <row r="43" spans="1:19" ht="15.75" thickBot="1" x14ac:dyDescent="0.3">
      <c r="A43" s="46" t="s">
        <v>36</v>
      </c>
      <c r="B43" s="209" t="s">
        <v>12</v>
      </c>
      <c r="C43" s="210"/>
      <c r="D43" s="48" t="s">
        <v>100</v>
      </c>
      <c r="E43" s="18">
        <v>0</v>
      </c>
      <c r="F43" s="11">
        <v>0</v>
      </c>
      <c r="G43" s="42">
        <f>E43*F43</f>
        <v>0</v>
      </c>
      <c r="H43" s="11">
        <v>0</v>
      </c>
      <c r="I43" s="11">
        <v>0</v>
      </c>
      <c r="J43" s="145">
        <f>SUM(G43:H43:I43)</f>
        <v>0</v>
      </c>
    </row>
    <row r="44" spans="1:19" ht="15.75" thickBot="1" x14ac:dyDescent="0.3">
      <c r="A44" s="49" t="s">
        <v>36</v>
      </c>
      <c r="B44" s="204"/>
      <c r="C44" s="205"/>
      <c r="D44" s="50"/>
      <c r="E44" s="19">
        <v>0</v>
      </c>
      <c r="F44" s="12">
        <v>0</v>
      </c>
      <c r="G44" s="42">
        <f>E44*F44</f>
        <v>0</v>
      </c>
      <c r="H44" s="19">
        <v>0</v>
      </c>
      <c r="I44" s="12">
        <v>0</v>
      </c>
      <c r="J44" s="145">
        <f>SUM(G44:H44:I44)</f>
        <v>0</v>
      </c>
    </row>
    <row r="45" spans="1:19" ht="15.75" thickBot="1" x14ac:dyDescent="0.3">
      <c r="A45" s="49" t="s">
        <v>36</v>
      </c>
      <c r="B45" s="204"/>
      <c r="C45" s="205"/>
      <c r="D45" s="50"/>
      <c r="E45" s="19">
        <v>0</v>
      </c>
      <c r="F45" s="12">
        <v>0</v>
      </c>
      <c r="G45" s="42">
        <f>E45*F45</f>
        <v>0</v>
      </c>
      <c r="H45" s="19">
        <v>0</v>
      </c>
      <c r="I45" s="12">
        <v>0</v>
      </c>
      <c r="J45" s="145">
        <f>SUM(G45:H45:I45)</f>
        <v>0</v>
      </c>
    </row>
    <row r="46" spans="1:19" ht="15.75" thickBot="1" x14ac:dyDescent="0.3">
      <c r="A46" s="49"/>
      <c r="B46" s="204"/>
      <c r="C46" s="205"/>
      <c r="D46" s="50"/>
      <c r="E46" s="19">
        <v>0</v>
      </c>
      <c r="F46" s="12">
        <v>0</v>
      </c>
      <c r="G46" s="42">
        <f>E46*F46</f>
        <v>0</v>
      </c>
      <c r="H46" s="19">
        <v>0</v>
      </c>
      <c r="I46" s="12">
        <v>0</v>
      </c>
      <c r="J46" s="145">
        <f>SUM(G46:H46:I46)</f>
        <v>0</v>
      </c>
    </row>
    <row r="47" spans="1:19" x14ac:dyDescent="0.25">
      <c r="A47" s="49"/>
      <c r="B47" s="204"/>
      <c r="C47" s="205"/>
      <c r="D47" s="50"/>
      <c r="E47" s="19">
        <v>0</v>
      </c>
      <c r="F47" s="12">
        <v>0</v>
      </c>
      <c r="G47" s="42">
        <f>E47*F47</f>
        <v>0</v>
      </c>
      <c r="H47" s="19">
        <v>0</v>
      </c>
      <c r="I47" s="12">
        <v>0</v>
      </c>
      <c r="J47" s="145">
        <f>SUM(G47:H47:I47)</f>
        <v>0</v>
      </c>
    </row>
    <row r="48" spans="1:19" ht="15.75" thickBot="1" x14ac:dyDescent="0.3">
      <c r="A48" s="217" t="s">
        <v>11</v>
      </c>
      <c r="B48" s="218"/>
      <c r="C48" s="218"/>
      <c r="D48" s="219"/>
      <c r="E48" s="20">
        <v>0</v>
      </c>
      <c r="F48" s="20">
        <v>0</v>
      </c>
      <c r="G48" s="41">
        <f>SUM(G43:G47)</f>
        <v>0</v>
      </c>
      <c r="H48" s="20"/>
      <c r="I48" s="141">
        <f>SUM(I43:I47)</f>
        <v>0</v>
      </c>
      <c r="J48" s="146">
        <f>SUM(J43:J47)</f>
        <v>0</v>
      </c>
    </row>
    <row r="49" spans="1:19" x14ac:dyDescent="0.25">
      <c r="A49" s="6"/>
      <c r="B49" s="6"/>
      <c r="C49" s="6"/>
      <c r="D49" s="6"/>
      <c r="E49" s="6"/>
      <c r="F49" s="6"/>
      <c r="G49" s="6"/>
      <c r="H49" s="6"/>
      <c r="I49" s="6"/>
      <c r="J49" s="6"/>
    </row>
    <row r="51" spans="1:19" s="1" customFormat="1" ht="15.75" x14ac:dyDescent="0.25">
      <c r="A51" s="203" t="s">
        <v>52</v>
      </c>
      <c r="B51" s="203"/>
      <c r="C51" s="203"/>
      <c r="D51" s="203"/>
      <c r="E51" s="203"/>
      <c r="F51" s="203"/>
      <c r="G51" s="203"/>
      <c r="H51" s="203"/>
      <c r="I51" s="203"/>
      <c r="J51" s="203"/>
      <c r="K51" s="35"/>
      <c r="L51" s="35"/>
      <c r="M51" s="35"/>
      <c r="N51" s="35"/>
      <c r="O51" s="35"/>
      <c r="P51" s="35"/>
      <c r="Q51" s="35"/>
      <c r="R51" s="35"/>
      <c r="S51" s="35"/>
    </row>
    <row r="52" spans="1:19" s="40" customFormat="1" ht="15.75" thickBot="1" x14ac:dyDescent="0.3">
      <c r="A52" s="98" t="s">
        <v>5</v>
      </c>
      <c r="B52" s="98" t="s">
        <v>77</v>
      </c>
      <c r="C52" s="98" t="s">
        <v>15</v>
      </c>
      <c r="D52" s="208" t="s">
        <v>17</v>
      </c>
      <c r="E52" s="208"/>
      <c r="F52" s="220"/>
      <c r="G52" s="37" t="s">
        <v>75</v>
      </c>
      <c r="H52" s="23" t="s">
        <v>44</v>
      </c>
      <c r="I52" s="38" t="s">
        <v>32</v>
      </c>
      <c r="J52" s="98" t="s">
        <v>33</v>
      </c>
      <c r="K52" s="39"/>
      <c r="L52" s="39"/>
      <c r="M52" s="39"/>
      <c r="N52" s="39"/>
      <c r="O52" s="39"/>
      <c r="P52" s="39"/>
      <c r="Q52" s="39"/>
      <c r="R52" s="39"/>
      <c r="S52" s="39"/>
    </row>
    <row r="53" spans="1:19" ht="15.75" x14ac:dyDescent="0.25">
      <c r="A53" s="51" t="s">
        <v>14</v>
      </c>
      <c r="B53" s="142" t="s">
        <v>77</v>
      </c>
      <c r="C53" s="47" t="s">
        <v>15</v>
      </c>
      <c r="D53" s="221" t="s">
        <v>17</v>
      </c>
      <c r="E53" s="222"/>
      <c r="F53" s="223"/>
      <c r="G53" s="193" t="s">
        <v>101</v>
      </c>
      <c r="H53" s="150">
        <v>0</v>
      </c>
      <c r="I53" s="151">
        <v>0</v>
      </c>
      <c r="J53" s="153">
        <f>SUM(H53:I53)</f>
        <v>0</v>
      </c>
    </row>
    <row r="54" spans="1:19" ht="15.75" x14ac:dyDescent="0.25">
      <c r="A54" s="52" t="s">
        <v>14</v>
      </c>
      <c r="B54" s="143"/>
      <c r="C54" s="17"/>
      <c r="D54" s="224"/>
      <c r="E54" s="225"/>
      <c r="F54" s="226"/>
      <c r="G54" s="148"/>
      <c r="H54" s="150">
        <v>0</v>
      </c>
      <c r="I54" s="152">
        <v>0</v>
      </c>
      <c r="J54" s="154">
        <v>0</v>
      </c>
    </row>
    <row r="55" spans="1:19" ht="15.75" x14ac:dyDescent="0.25">
      <c r="A55" s="52" t="s">
        <v>14</v>
      </c>
      <c r="B55" s="143"/>
      <c r="C55" s="17"/>
      <c r="D55" s="224"/>
      <c r="E55" s="225"/>
      <c r="F55" s="226"/>
      <c r="G55" s="148"/>
      <c r="H55" s="150">
        <v>0</v>
      </c>
      <c r="I55" s="152">
        <v>0</v>
      </c>
      <c r="J55" s="154">
        <v>0</v>
      </c>
    </row>
    <row r="56" spans="1:19" ht="15.75" x14ac:dyDescent="0.25">
      <c r="A56" s="52" t="s">
        <v>14</v>
      </c>
      <c r="B56" s="143"/>
      <c r="C56" s="17"/>
      <c r="D56" s="224"/>
      <c r="E56" s="225"/>
      <c r="F56" s="226"/>
      <c r="G56" s="148"/>
      <c r="H56" s="150">
        <v>0</v>
      </c>
      <c r="I56" s="152">
        <v>0</v>
      </c>
      <c r="J56" s="154">
        <v>0</v>
      </c>
    </row>
    <row r="57" spans="1:19" ht="15.75" x14ac:dyDescent="0.25">
      <c r="A57" s="52"/>
      <c r="B57" s="143"/>
      <c r="C57" s="17"/>
      <c r="D57" s="224"/>
      <c r="E57" s="225"/>
      <c r="F57" s="226"/>
      <c r="G57" s="148"/>
      <c r="H57" s="150">
        <v>0</v>
      </c>
      <c r="I57" s="189">
        <v>0</v>
      </c>
      <c r="J57" s="154">
        <v>0</v>
      </c>
    </row>
    <row r="58" spans="1:19" ht="16.5" thickBot="1" x14ac:dyDescent="0.3">
      <c r="A58" s="227" t="s">
        <v>11</v>
      </c>
      <c r="B58" s="228"/>
      <c r="C58" s="228"/>
      <c r="D58" s="228"/>
      <c r="E58" s="228"/>
      <c r="F58" s="229"/>
      <c r="G58" s="24"/>
      <c r="H58" s="149"/>
      <c r="I58" s="160">
        <f>SUM(I53:I57)</f>
        <v>0</v>
      </c>
      <c r="J58" s="192">
        <f>SUM(J53:J57)</f>
        <v>0</v>
      </c>
    </row>
    <row r="61" spans="1:19" s="1" customFormat="1" ht="15.75" x14ac:dyDescent="0.25">
      <c r="A61" s="203" t="s">
        <v>54</v>
      </c>
      <c r="B61" s="203"/>
      <c r="C61" s="203"/>
      <c r="D61" s="203"/>
      <c r="E61" s="203"/>
      <c r="F61" s="203"/>
      <c r="G61" s="203"/>
      <c r="H61" s="203"/>
      <c r="I61" s="203"/>
      <c r="J61" s="203"/>
      <c r="K61" s="35"/>
      <c r="L61" s="35"/>
      <c r="M61" s="35"/>
      <c r="N61" s="35"/>
      <c r="O61" s="35"/>
      <c r="P61" s="35"/>
      <c r="Q61" s="35"/>
      <c r="R61" s="35"/>
      <c r="S61" s="35"/>
    </row>
    <row r="62" spans="1:19" s="40" customFormat="1" ht="15.75" thickBot="1" x14ac:dyDescent="0.3">
      <c r="A62" s="98" t="s">
        <v>46</v>
      </c>
      <c r="B62" s="98" t="s">
        <v>80</v>
      </c>
      <c r="C62" s="98" t="s">
        <v>19</v>
      </c>
      <c r="D62" s="98" t="s">
        <v>20</v>
      </c>
      <c r="E62" s="98" t="s">
        <v>21</v>
      </c>
      <c r="F62" s="98" t="s">
        <v>22</v>
      </c>
      <c r="G62" s="98" t="s">
        <v>23</v>
      </c>
      <c r="H62" s="98" t="s">
        <v>83</v>
      </c>
      <c r="I62" s="98" t="s">
        <v>32</v>
      </c>
      <c r="J62" s="98" t="s">
        <v>87</v>
      </c>
      <c r="K62" s="39"/>
      <c r="L62" s="39"/>
      <c r="M62" s="39"/>
      <c r="N62" s="39"/>
      <c r="O62" s="39"/>
      <c r="P62" s="39"/>
      <c r="Q62" s="39"/>
    </row>
    <row r="63" spans="1:19" x14ac:dyDescent="0.25">
      <c r="A63" s="46" t="s">
        <v>46</v>
      </c>
      <c r="B63" s="119" t="s">
        <v>80</v>
      </c>
      <c r="C63" s="47" t="s">
        <v>102</v>
      </c>
      <c r="D63" s="47" t="s">
        <v>103</v>
      </c>
      <c r="E63" s="53" t="s">
        <v>21</v>
      </c>
      <c r="F63" s="11">
        <v>0</v>
      </c>
      <c r="G63" s="27">
        <v>0</v>
      </c>
      <c r="H63" s="156">
        <v>0</v>
      </c>
      <c r="I63" s="162">
        <v>0</v>
      </c>
      <c r="J63" s="163">
        <f>SUM(F63:I63)</f>
        <v>0</v>
      </c>
    </row>
    <row r="64" spans="1:19" x14ac:dyDescent="0.25">
      <c r="A64" s="49" t="s">
        <v>88</v>
      </c>
      <c r="B64" s="120"/>
      <c r="C64" s="17"/>
      <c r="D64" s="17"/>
      <c r="E64" s="17"/>
      <c r="F64" s="12">
        <v>0</v>
      </c>
      <c r="G64" s="28">
        <v>0</v>
      </c>
      <c r="H64" s="157">
        <v>0</v>
      </c>
      <c r="I64" s="164">
        <v>0</v>
      </c>
      <c r="J64" s="165">
        <f t="shared" ref="J64:J67" si="5">SUM(F64:I64)</f>
        <v>0</v>
      </c>
    </row>
    <row r="65" spans="1:10" x14ac:dyDescent="0.25">
      <c r="A65" s="49" t="s">
        <v>88</v>
      </c>
      <c r="B65" s="120"/>
      <c r="C65" s="17"/>
      <c r="D65" s="17"/>
      <c r="E65" s="17"/>
      <c r="F65" s="12">
        <v>0</v>
      </c>
      <c r="G65" s="28">
        <v>0</v>
      </c>
      <c r="H65" s="157">
        <v>0</v>
      </c>
      <c r="I65" s="164">
        <v>0</v>
      </c>
      <c r="J65" s="165">
        <f t="shared" si="5"/>
        <v>0</v>
      </c>
    </row>
    <row r="66" spans="1:10" x14ac:dyDescent="0.25">
      <c r="A66" s="49" t="s">
        <v>88</v>
      </c>
      <c r="B66" s="120"/>
      <c r="C66" s="17"/>
      <c r="D66" s="17"/>
      <c r="E66" s="17"/>
      <c r="F66" s="12">
        <v>0</v>
      </c>
      <c r="G66" s="28">
        <v>0</v>
      </c>
      <c r="H66" s="157">
        <v>0</v>
      </c>
      <c r="I66" s="164">
        <v>0</v>
      </c>
      <c r="J66" s="165">
        <f t="shared" si="5"/>
        <v>0</v>
      </c>
    </row>
    <row r="67" spans="1:10" x14ac:dyDescent="0.25">
      <c r="A67" s="26" t="s">
        <v>88</v>
      </c>
      <c r="B67" s="26"/>
      <c r="C67" s="26"/>
      <c r="D67" s="26"/>
      <c r="E67" s="26"/>
      <c r="F67" s="25"/>
      <c r="G67" s="29"/>
      <c r="H67" s="158">
        <v>0</v>
      </c>
      <c r="I67" s="166">
        <v>0</v>
      </c>
      <c r="J67" s="167">
        <f t="shared" si="5"/>
        <v>0</v>
      </c>
    </row>
    <row r="68" spans="1:10" s="1" customFormat="1" x14ac:dyDescent="0.25">
      <c r="A68" s="214" t="s">
        <v>8</v>
      </c>
      <c r="B68" s="215"/>
      <c r="C68" s="215"/>
      <c r="D68" s="215"/>
      <c r="E68" s="215"/>
      <c r="F68" s="215"/>
      <c r="G68" s="215"/>
      <c r="H68" s="216"/>
      <c r="I68" s="159">
        <f>SUM(I63:I67)</f>
        <v>0</v>
      </c>
      <c r="J68" s="161">
        <f>SUM(J63:J67)</f>
        <v>0</v>
      </c>
    </row>
    <row r="69" spans="1:10" x14ac:dyDescent="0.25">
      <c r="A69" s="1"/>
      <c r="B69" s="1"/>
      <c r="C69" s="1"/>
      <c r="D69" s="1"/>
      <c r="E69" s="1"/>
      <c r="F69" s="1"/>
    </row>
    <row r="71" spans="1:10" x14ac:dyDescent="0.25">
      <c r="A71" s="64" t="s">
        <v>79</v>
      </c>
      <c r="B71" s="64"/>
    </row>
  </sheetData>
  <mergeCells count="36">
    <mergeCell ref="A12:M12"/>
    <mergeCell ref="A1:C1"/>
    <mergeCell ref="B2:C2"/>
    <mergeCell ref="B3:C3"/>
    <mergeCell ref="B4:C4"/>
    <mergeCell ref="B5:C5"/>
    <mergeCell ref="B7:C7"/>
    <mergeCell ref="B8:C8"/>
    <mergeCell ref="B9:C9"/>
    <mergeCell ref="E3:J3"/>
    <mergeCell ref="E2:J2"/>
    <mergeCell ref="E1:J1"/>
    <mergeCell ref="B46:C46"/>
    <mergeCell ref="A13:J13"/>
    <mergeCell ref="A14:J14"/>
    <mergeCell ref="A27:D27"/>
    <mergeCell ref="A29:J29"/>
    <mergeCell ref="A30:J30"/>
    <mergeCell ref="A37:D37"/>
    <mergeCell ref="A41:J41"/>
    <mergeCell ref="B42:C42"/>
    <mergeCell ref="B43:C43"/>
    <mergeCell ref="B44:C44"/>
    <mergeCell ref="B45:C45"/>
    <mergeCell ref="A68:H68"/>
    <mergeCell ref="B47:C47"/>
    <mergeCell ref="A48:D48"/>
    <mergeCell ref="A51:J51"/>
    <mergeCell ref="D52:F52"/>
    <mergeCell ref="D53:F53"/>
    <mergeCell ref="D54:F54"/>
    <mergeCell ref="D55:F55"/>
    <mergeCell ref="D56:F56"/>
    <mergeCell ref="D57:F57"/>
    <mergeCell ref="A58:F58"/>
    <mergeCell ref="A61:J6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60643-6C8E-4A5B-B9D9-FEEE025DCB13}">
  <dimension ref="A1:V71"/>
  <sheetViews>
    <sheetView workbookViewId="0">
      <selection activeCell="A13" sqref="A13:J13"/>
    </sheetView>
  </sheetViews>
  <sheetFormatPr defaultRowHeight="15" x14ac:dyDescent="0.25"/>
  <cols>
    <col min="1" max="1" width="25.5703125" customWidth="1"/>
    <col min="2" max="2" width="19.42578125" customWidth="1"/>
    <col min="3" max="3" width="24.85546875" customWidth="1"/>
    <col min="4" max="4" width="18.140625" customWidth="1"/>
    <col min="5" max="5" width="16.7109375" customWidth="1"/>
    <col min="6" max="6" width="12.85546875" customWidth="1"/>
    <col min="7" max="7" width="15.42578125" customWidth="1"/>
    <col min="8" max="8" width="16.5703125" customWidth="1"/>
    <col min="9" max="9" width="16.7109375" customWidth="1"/>
    <col min="10" max="10" width="19.42578125" customWidth="1"/>
    <col min="11" max="11" width="20.28515625" customWidth="1"/>
    <col min="12" max="12" width="15.42578125" customWidth="1"/>
    <col min="13" max="13" width="21" customWidth="1"/>
  </cols>
  <sheetData>
    <row r="1" spans="1:22" ht="23.25" x14ac:dyDescent="0.35">
      <c r="A1" s="202" t="s">
        <v>31</v>
      </c>
      <c r="B1" s="202"/>
      <c r="C1" s="202"/>
      <c r="D1" s="182"/>
      <c r="E1" s="251" t="s">
        <v>51</v>
      </c>
      <c r="F1" s="251"/>
      <c r="G1" s="251"/>
      <c r="H1" s="251"/>
      <c r="I1" s="251"/>
      <c r="J1" s="251"/>
    </row>
    <row r="2" spans="1:22" x14ac:dyDescent="0.25">
      <c r="A2" s="14" t="s">
        <v>1</v>
      </c>
      <c r="B2" s="239" t="s">
        <v>27</v>
      </c>
      <c r="C2" s="240"/>
      <c r="E2" s="250" t="s">
        <v>93</v>
      </c>
      <c r="F2" s="250"/>
      <c r="G2" s="250"/>
      <c r="H2" s="250"/>
      <c r="I2" s="250"/>
      <c r="J2" s="250"/>
      <c r="K2" s="63"/>
    </row>
    <row r="3" spans="1:22" x14ac:dyDescent="0.25">
      <c r="A3" s="13" t="s">
        <v>55</v>
      </c>
      <c r="B3" s="241" t="s">
        <v>56</v>
      </c>
      <c r="C3" s="242"/>
      <c r="D3" s="31"/>
      <c r="E3" s="252" t="s">
        <v>91</v>
      </c>
      <c r="F3" s="252"/>
      <c r="G3" s="252"/>
      <c r="H3" s="252"/>
      <c r="I3" s="252"/>
      <c r="J3" s="252"/>
      <c r="K3" s="63"/>
    </row>
    <row r="4" spans="1:22" x14ac:dyDescent="0.25">
      <c r="A4" s="13" t="s">
        <v>2</v>
      </c>
      <c r="B4" s="241" t="s">
        <v>28</v>
      </c>
      <c r="C4" s="242"/>
      <c r="D4" s="31"/>
      <c r="K4" s="63"/>
    </row>
    <row r="5" spans="1:22" x14ac:dyDescent="0.25">
      <c r="A5" s="13" t="s">
        <v>0</v>
      </c>
      <c r="B5" s="241" t="s">
        <v>29</v>
      </c>
      <c r="C5" s="242"/>
      <c r="D5" s="31"/>
      <c r="K5" s="63"/>
    </row>
    <row r="6" spans="1:22" x14ac:dyDescent="0.25">
      <c r="A6" s="13" t="s">
        <v>57</v>
      </c>
      <c r="B6" s="180" t="s">
        <v>61</v>
      </c>
      <c r="C6" s="181"/>
      <c r="D6" s="31"/>
      <c r="K6" s="63"/>
    </row>
    <row r="7" spans="1:22" x14ac:dyDescent="0.25">
      <c r="A7" s="13" t="s">
        <v>7</v>
      </c>
      <c r="B7" s="243" t="s">
        <v>30</v>
      </c>
      <c r="C7" s="244"/>
      <c r="D7" s="31"/>
      <c r="K7" s="63"/>
    </row>
    <row r="8" spans="1:22" x14ac:dyDescent="0.25">
      <c r="A8" s="62" t="s">
        <v>25</v>
      </c>
      <c r="B8" s="245">
        <f>SUM(J27+J37+J48+J58+J68)</f>
        <v>0</v>
      </c>
      <c r="C8" s="246"/>
      <c r="D8" s="31"/>
    </row>
    <row r="9" spans="1:22" x14ac:dyDescent="0.25">
      <c r="A9" s="61" t="s">
        <v>3</v>
      </c>
      <c r="B9" s="247">
        <f>SUM(I27+I37+I48+I58+I68)</f>
        <v>0</v>
      </c>
      <c r="C9" s="248"/>
      <c r="D9" s="32" t="s">
        <v>34</v>
      </c>
    </row>
    <row r="10" spans="1:22" s="56" customFormat="1" x14ac:dyDescent="0.25">
      <c r="A10" s="34"/>
      <c r="B10" s="34"/>
      <c r="C10" s="54"/>
      <c r="D10" s="55"/>
      <c r="E10" s="32"/>
    </row>
    <row r="11" spans="1:22" ht="11.25" customHeight="1" x14ac:dyDescent="0.25">
      <c r="A11" s="34"/>
      <c r="B11" s="34"/>
      <c r="C11" s="5"/>
      <c r="D11" s="5"/>
      <c r="E11" s="32"/>
    </row>
    <row r="12" spans="1:22" s="56" customFormat="1" ht="21.75" customHeight="1" x14ac:dyDescent="0.25">
      <c r="A12" s="238" t="s">
        <v>92</v>
      </c>
      <c r="B12" s="238"/>
      <c r="C12" s="238"/>
      <c r="D12" s="238"/>
      <c r="E12" s="238"/>
      <c r="F12" s="238"/>
      <c r="G12" s="238"/>
      <c r="H12" s="238"/>
      <c r="I12" s="238"/>
      <c r="J12" s="238"/>
      <c r="K12" s="238"/>
      <c r="L12" s="238"/>
      <c r="M12" s="238"/>
    </row>
    <row r="13" spans="1:22" x14ac:dyDescent="0.25">
      <c r="A13" s="230" t="s">
        <v>106</v>
      </c>
      <c r="B13" s="231"/>
      <c r="C13" s="231"/>
      <c r="D13" s="231"/>
      <c r="E13" s="231"/>
      <c r="F13" s="231"/>
      <c r="G13" s="231"/>
      <c r="H13" s="231"/>
      <c r="I13" s="231"/>
      <c r="J13" s="231"/>
      <c r="K13" s="68"/>
      <c r="L13" s="68"/>
      <c r="M13" s="68"/>
    </row>
    <row r="14" spans="1:22" s="1" customFormat="1" ht="15.75" x14ac:dyDescent="0.25">
      <c r="A14" s="211" t="s">
        <v>39</v>
      </c>
      <c r="B14" s="211"/>
      <c r="C14" s="211"/>
      <c r="D14" s="211"/>
      <c r="E14" s="211"/>
      <c r="F14" s="211"/>
      <c r="G14" s="211"/>
      <c r="H14" s="211"/>
      <c r="I14" s="211"/>
      <c r="J14" s="211"/>
      <c r="K14" s="67"/>
      <c r="L14" s="67"/>
      <c r="M14" s="67"/>
      <c r="N14" s="35"/>
      <c r="O14" s="35"/>
      <c r="P14" s="35"/>
      <c r="Q14" s="35"/>
      <c r="R14" s="35"/>
      <c r="S14" s="35"/>
      <c r="T14" s="35"/>
      <c r="U14" s="35"/>
      <c r="V14" s="35"/>
    </row>
    <row r="15" spans="1:22" s="40" customFormat="1" ht="15.75" thickBot="1" x14ac:dyDescent="0.3">
      <c r="A15" s="98" t="s">
        <v>58</v>
      </c>
      <c r="B15" s="98" t="s">
        <v>60</v>
      </c>
      <c r="C15" s="98" t="s">
        <v>59</v>
      </c>
      <c r="D15" s="98" t="s">
        <v>41</v>
      </c>
      <c r="E15" s="98" t="s">
        <v>42</v>
      </c>
      <c r="F15" s="98" t="s">
        <v>43</v>
      </c>
      <c r="G15" s="98" t="s">
        <v>44</v>
      </c>
      <c r="H15" s="183" t="s">
        <v>32</v>
      </c>
      <c r="I15" s="98" t="s">
        <v>9</v>
      </c>
      <c r="J15" s="98" t="s">
        <v>85</v>
      </c>
      <c r="K15" s="39"/>
      <c r="L15" s="39"/>
      <c r="M15" s="39"/>
      <c r="N15" s="39"/>
      <c r="O15" s="39"/>
      <c r="P15" s="39"/>
      <c r="Q15" s="39"/>
      <c r="R15" s="39"/>
      <c r="S15" s="39"/>
    </row>
    <row r="16" spans="1:22" ht="15.75" x14ac:dyDescent="0.25">
      <c r="A16" s="4" t="s">
        <v>40</v>
      </c>
      <c r="B16" s="4" t="s">
        <v>62</v>
      </c>
      <c r="C16" s="4" t="s">
        <v>65</v>
      </c>
      <c r="D16" s="4" t="s">
        <v>45</v>
      </c>
      <c r="E16" s="69">
        <v>0</v>
      </c>
      <c r="F16" s="105">
        <v>0</v>
      </c>
      <c r="G16" s="108">
        <f t="shared" ref="G16:G24" si="0">SUM(E16*F16)</f>
        <v>0</v>
      </c>
      <c r="H16" s="115">
        <v>0</v>
      </c>
      <c r="I16" s="112">
        <f>SUM(F16*H16)</f>
        <v>0</v>
      </c>
      <c r="J16" s="123">
        <f>SUM(G16+I16)</f>
        <v>0</v>
      </c>
      <c r="K16" s="36"/>
    </row>
    <row r="17" spans="1:11" ht="15.75" x14ac:dyDescent="0.25">
      <c r="A17" s="4" t="s">
        <v>40</v>
      </c>
      <c r="B17" s="4" t="s">
        <v>63</v>
      </c>
      <c r="C17" s="4" t="s">
        <v>66</v>
      </c>
      <c r="D17" s="4" t="s">
        <v>45</v>
      </c>
      <c r="E17" s="69">
        <v>0</v>
      </c>
      <c r="F17" s="106">
        <v>0</v>
      </c>
      <c r="G17" s="109">
        <f t="shared" si="0"/>
        <v>0</v>
      </c>
      <c r="H17" s="116">
        <v>0</v>
      </c>
      <c r="I17" s="113">
        <f t="shared" ref="I17:I26" si="1">SUM(F17*H17)</f>
        <v>0</v>
      </c>
      <c r="J17" s="124">
        <f t="shared" ref="J17:J26" si="2">SUM(G17+I17)</f>
        <v>0</v>
      </c>
      <c r="K17" s="36"/>
    </row>
    <row r="18" spans="1:11" ht="15.75" x14ac:dyDescent="0.25">
      <c r="A18" s="4" t="s">
        <v>40</v>
      </c>
      <c r="B18" s="4" t="s">
        <v>64</v>
      </c>
      <c r="C18" s="4" t="s">
        <v>67</v>
      </c>
      <c r="D18" s="4" t="s">
        <v>45</v>
      </c>
      <c r="E18" s="69">
        <v>0</v>
      </c>
      <c r="F18" s="106">
        <v>0</v>
      </c>
      <c r="G18" s="109">
        <f t="shared" si="0"/>
        <v>0</v>
      </c>
      <c r="H18" s="116">
        <v>0</v>
      </c>
      <c r="I18" s="113">
        <f t="shared" si="1"/>
        <v>0</v>
      </c>
      <c r="J18" s="124">
        <f t="shared" si="2"/>
        <v>0</v>
      </c>
      <c r="K18" s="36"/>
    </row>
    <row r="19" spans="1:11" ht="15.75" x14ac:dyDescent="0.25">
      <c r="A19" s="4"/>
      <c r="B19" s="4"/>
      <c r="C19" s="4"/>
      <c r="D19" s="65"/>
      <c r="E19" s="70">
        <v>0</v>
      </c>
      <c r="F19" s="106">
        <v>0</v>
      </c>
      <c r="G19" s="109">
        <f t="shared" si="0"/>
        <v>0</v>
      </c>
      <c r="H19" s="116">
        <v>0</v>
      </c>
      <c r="I19" s="113">
        <f t="shared" si="1"/>
        <v>0</v>
      </c>
      <c r="J19" s="124">
        <f t="shared" si="2"/>
        <v>0</v>
      </c>
      <c r="K19" s="36"/>
    </row>
    <row r="20" spans="1:11" ht="15.75" x14ac:dyDescent="0.25">
      <c r="A20" s="4"/>
      <c r="B20" s="4"/>
      <c r="C20" s="4"/>
      <c r="D20" s="65"/>
      <c r="E20" s="70">
        <v>0</v>
      </c>
      <c r="F20" s="106">
        <v>0</v>
      </c>
      <c r="G20" s="109">
        <f t="shared" si="0"/>
        <v>0</v>
      </c>
      <c r="H20" s="116">
        <v>0</v>
      </c>
      <c r="I20" s="113">
        <f t="shared" si="1"/>
        <v>0</v>
      </c>
      <c r="J20" s="124">
        <f t="shared" si="2"/>
        <v>0</v>
      </c>
      <c r="K20" s="36"/>
    </row>
    <row r="21" spans="1:11" ht="15.75" x14ac:dyDescent="0.25">
      <c r="A21" s="4"/>
      <c r="B21" s="4"/>
      <c r="C21" s="4"/>
      <c r="D21" s="65"/>
      <c r="E21" s="70">
        <v>0</v>
      </c>
      <c r="F21" s="106">
        <v>0</v>
      </c>
      <c r="G21" s="109">
        <f t="shared" si="0"/>
        <v>0</v>
      </c>
      <c r="H21" s="116">
        <v>0</v>
      </c>
      <c r="I21" s="113">
        <f t="shared" si="1"/>
        <v>0</v>
      </c>
      <c r="J21" s="124">
        <f t="shared" si="2"/>
        <v>0</v>
      </c>
      <c r="K21" s="36"/>
    </row>
    <row r="22" spans="1:11" ht="15.75" x14ac:dyDescent="0.25">
      <c r="A22" s="4"/>
      <c r="B22" s="4"/>
      <c r="C22" s="4"/>
      <c r="D22" s="65"/>
      <c r="E22" s="70">
        <v>0</v>
      </c>
      <c r="F22" s="106">
        <v>0</v>
      </c>
      <c r="G22" s="110">
        <f t="shared" si="0"/>
        <v>0</v>
      </c>
      <c r="H22" s="116">
        <v>0</v>
      </c>
      <c r="I22" s="113">
        <f t="shared" si="1"/>
        <v>0</v>
      </c>
      <c r="J22" s="124">
        <f t="shared" si="2"/>
        <v>0</v>
      </c>
      <c r="K22" s="36"/>
    </row>
    <row r="23" spans="1:11" ht="15.75" x14ac:dyDescent="0.25">
      <c r="A23" s="4"/>
      <c r="B23" s="4"/>
      <c r="C23" s="4"/>
      <c r="D23" s="65"/>
      <c r="E23" s="70">
        <v>0</v>
      </c>
      <c r="F23" s="107">
        <v>0</v>
      </c>
      <c r="G23" s="111">
        <f t="shared" si="0"/>
        <v>0</v>
      </c>
      <c r="H23" s="116">
        <v>0</v>
      </c>
      <c r="I23" s="113">
        <f t="shared" si="1"/>
        <v>0</v>
      </c>
      <c r="J23" s="124">
        <f t="shared" si="2"/>
        <v>0</v>
      </c>
      <c r="K23" s="36"/>
    </row>
    <row r="24" spans="1:11" ht="15.75" x14ac:dyDescent="0.25">
      <c r="A24" s="4"/>
      <c r="B24" s="4"/>
      <c r="C24" s="4"/>
      <c r="D24" s="65"/>
      <c r="E24" s="104">
        <v>0</v>
      </c>
      <c r="F24" s="7">
        <v>0</v>
      </c>
      <c r="G24" s="111">
        <f t="shared" si="0"/>
        <v>0</v>
      </c>
      <c r="H24" s="116">
        <v>0</v>
      </c>
      <c r="I24" s="114">
        <f t="shared" si="1"/>
        <v>0</v>
      </c>
      <c r="J24" s="124">
        <f t="shared" si="2"/>
        <v>0</v>
      </c>
      <c r="K24" s="36"/>
    </row>
    <row r="25" spans="1:11" ht="15.75" x14ac:dyDescent="0.25">
      <c r="A25" s="15"/>
      <c r="B25" s="117"/>
      <c r="C25" s="4"/>
      <c r="D25" s="65"/>
      <c r="E25" s="43"/>
      <c r="F25" s="7"/>
      <c r="G25" s="9"/>
      <c r="H25" s="116"/>
      <c r="I25" s="114">
        <f t="shared" si="1"/>
        <v>0</v>
      </c>
      <c r="J25" s="124">
        <f t="shared" si="2"/>
        <v>0</v>
      </c>
      <c r="K25" s="36"/>
    </row>
    <row r="26" spans="1:11" ht="16.5" thickBot="1" x14ac:dyDescent="0.3">
      <c r="A26" s="16"/>
      <c r="B26" s="118"/>
      <c r="C26" s="44"/>
      <c r="D26" s="66"/>
      <c r="E26" s="45"/>
      <c r="F26" s="8"/>
      <c r="G26" s="10"/>
      <c r="H26" s="57"/>
      <c r="I26" s="114">
        <f t="shared" si="1"/>
        <v>0</v>
      </c>
      <c r="J26" s="124">
        <f t="shared" si="2"/>
        <v>0</v>
      </c>
      <c r="K26" s="36"/>
    </row>
    <row r="27" spans="1:11" ht="15.75" thickBot="1" x14ac:dyDescent="0.3">
      <c r="A27" s="232"/>
      <c r="B27" s="233"/>
      <c r="C27" s="233"/>
      <c r="D27" s="234"/>
      <c r="E27" s="21"/>
      <c r="F27" s="22"/>
      <c r="G27" s="33"/>
      <c r="H27" s="58"/>
      <c r="I27" s="60">
        <f>SUM(I16:I26)</f>
        <v>0</v>
      </c>
      <c r="J27" s="59">
        <f>SUM(J16:J26)</f>
        <v>0</v>
      </c>
    </row>
    <row r="28" spans="1:11" x14ac:dyDescent="0.25">
      <c r="A28" s="71"/>
      <c r="B28" s="71"/>
      <c r="C28" s="71"/>
      <c r="D28" s="71"/>
      <c r="E28" s="72"/>
      <c r="F28" s="73"/>
      <c r="G28" s="74"/>
      <c r="H28" s="6"/>
      <c r="I28" s="74"/>
      <c r="J28" s="74"/>
    </row>
    <row r="29" spans="1:11" x14ac:dyDescent="0.25">
      <c r="A29" s="230"/>
      <c r="B29" s="231"/>
      <c r="C29" s="231"/>
      <c r="D29" s="231"/>
      <c r="E29" s="231"/>
      <c r="F29" s="231"/>
      <c r="G29" s="231"/>
      <c r="H29" s="231"/>
      <c r="I29" s="231"/>
      <c r="J29" s="231"/>
    </row>
    <row r="30" spans="1:11" ht="15.75" x14ac:dyDescent="0.25">
      <c r="A30" s="211" t="s">
        <v>53</v>
      </c>
      <c r="B30" s="211"/>
      <c r="C30" s="211"/>
      <c r="D30" s="211"/>
      <c r="E30" s="211"/>
      <c r="F30" s="211"/>
      <c r="G30" s="211"/>
      <c r="H30" s="211"/>
      <c r="I30" s="211"/>
      <c r="J30" s="211"/>
    </row>
    <row r="31" spans="1:11" s="188" customFormat="1" ht="17.25" customHeight="1" thickBot="1" x14ac:dyDescent="0.3">
      <c r="A31" s="184" t="s">
        <v>46</v>
      </c>
      <c r="B31" s="184"/>
      <c r="C31" s="184" t="s">
        <v>6</v>
      </c>
      <c r="D31" s="184" t="s">
        <v>37</v>
      </c>
      <c r="E31" s="185" t="s">
        <v>47</v>
      </c>
      <c r="F31" s="186" t="s">
        <v>48</v>
      </c>
      <c r="G31" s="187" t="s">
        <v>49</v>
      </c>
      <c r="H31" s="184" t="s">
        <v>89</v>
      </c>
      <c r="I31" s="187" t="s">
        <v>50</v>
      </c>
      <c r="J31" s="187" t="s">
        <v>86</v>
      </c>
    </row>
    <row r="32" spans="1:11" x14ac:dyDescent="0.25">
      <c r="A32" s="75" t="s">
        <v>46</v>
      </c>
      <c r="B32" s="75"/>
      <c r="C32" s="75" t="s">
        <v>6</v>
      </c>
      <c r="D32" s="125" t="s">
        <v>100</v>
      </c>
      <c r="E32" s="127">
        <v>0</v>
      </c>
      <c r="F32" s="128">
        <v>0</v>
      </c>
      <c r="G32" s="133">
        <f>SUM(E32*F32)</f>
        <v>0</v>
      </c>
      <c r="H32" s="135">
        <v>0</v>
      </c>
      <c r="I32" s="126">
        <f>SUM(F32*H32)</f>
        <v>0</v>
      </c>
      <c r="J32" s="76">
        <f>SUM(G32+I32)</f>
        <v>0</v>
      </c>
    </row>
    <row r="33" spans="1:19" x14ac:dyDescent="0.25">
      <c r="A33" s="75"/>
      <c r="B33" s="75"/>
      <c r="C33" s="75"/>
      <c r="D33" s="125"/>
      <c r="E33" s="129">
        <v>0</v>
      </c>
      <c r="F33" s="130">
        <v>0</v>
      </c>
      <c r="G33" s="133">
        <f>SUM(E33*F33)</f>
        <v>0</v>
      </c>
      <c r="H33" s="136">
        <v>0</v>
      </c>
      <c r="I33" s="126">
        <f t="shared" ref="I33:I36" si="3">SUM(F33*H33)</f>
        <v>0</v>
      </c>
      <c r="J33" s="76">
        <f t="shared" ref="J33:J36" si="4">SUM(G33:I33)</f>
        <v>0</v>
      </c>
    </row>
    <row r="34" spans="1:19" x14ac:dyDescent="0.25">
      <c r="A34" s="75"/>
      <c r="B34" s="75"/>
      <c r="C34" s="75"/>
      <c r="D34" s="125"/>
      <c r="E34" s="129">
        <v>0</v>
      </c>
      <c r="F34" s="130">
        <v>0</v>
      </c>
      <c r="G34" s="133">
        <f>SUM(E34*F34)</f>
        <v>0</v>
      </c>
      <c r="H34" s="136">
        <v>0</v>
      </c>
      <c r="I34" s="126">
        <f t="shared" si="3"/>
        <v>0</v>
      </c>
      <c r="J34" s="76">
        <f t="shared" si="4"/>
        <v>0</v>
      </c>
    </row>
    <row r="35" spans="1:19" x14ac:dyDescent="0.25">
      <c r="A35" s="75"/>
      <c r="B35" s="75"/>
      <c r="C35" s="75"/>
      <c r="D35" s="125"/>
      <c r="E35" s="129">
        <v>0</v>
      </c>
      <c r="F35" s="130">
        <v>0</v>
      </c>
      <c r="G35" s="133">
        <f>SUM(E35*F35)</f>
        <v>0</v>
      </c>
      <c r="H35" s="136">
        <v>0</v>
      </c>
      <c r="I35" s="126">
        <f t="shared" si="3"/>
        <v>0</v>
      </c>
      <c r="J35" s="76">
        <f t="shared" si="4"/>
        <v>0</v>
      </c>
    </row>
    <row r="36" spans="1:19" x14ac:dyDescent="0.25">
      <c r="A36" s="75"/>
      <c r="B36" s="75"/>
      <c r="C36" s="75"/>
      <c r="D36" s="125"/>
      <c r="E36" s="129">
        <v>0</v>
      </c>
      <c r="F36" s="130">
        <v>0</v>
      </c>
      <c r="G36" s="133">
        <f>SUM(E36*F36)</f>
        <v>0</v>
      </c>
      <c r="H36" s="136">
        <v>0</v>
      </c>
      <c r="I36" s="126">
        <f t="shared" si="3"/>
        <v>0</v>
      </c>
      <c r="J36" s="76">
        <f t="shared" si="4"/>
        <v>0</v>
      </c>
    </row>
    <row r="37" spans="1:19" ht="15.75" thickBot="1" x14ac:dyDescent="0.3">
      <c r="A37" s="235" t="s">
        <v>8</v>
      </c>
      <c r="B37" s="236"/>
      <c r="C37" s="236"/>
      <c r="D37" s="237"/>
      <c r="E37" s="131"/>
      <c r="F37" s="132"/>
      <c r="G37" s="133">
        <f>SUM(G32:G36)</f>
        <v>0</v>
      </c>
      <c r="H37" s="8"/>
      <c r="I37" s="134">
        <f>SUM(I32:I36)</f>
        <v>0</v>
      </c>
      <c r="J37" s="122">
        <f>SUM(J32:J36)</f>
        <v>0</v>
      </c>
    </row>
    <row r="38" spans="1:19" s="6" customFormat="1" x14ac:dyDescent="0.25">
      <c r="A38" s="71"/>
      <c r="B38" s="71"/>
      <c r="C38" s="71"/>
      <c r="D38" s="71"/>
      <c r="E38" s="72"/>
      <c r="F38" s="73"/>
      <c r="G38" s="74"/>
      <c r="I38" s="74"/>
      <c r="J38" s="74"/>
    </row>
    <row r="39" spans="1:19" x14ac:dyDescent="0.25">
      <c r="A39" s="71"/>
      <c r="B39" s="71"/>
      <c r="C39" s="71"/>
      <c r="D39" s="71"/>
      <c r="E39" s="72"/>
      <c r="F39" s="73"/>
      <c r="G39" s="74"/>
      <c r="H39" s="6"/>
      <c r="I39" s="74"/>
      <c r="J39" s="74"/>
    </row>
    <row r="40" spans="1:19" x14ac:dyDescent="0.25">
      <c r="A40" s="5"/>
      <c r="B40" s="5"/>
      <c r="C40" s="5"/>
      <c r="D40" s="5"/>
      <c r="E40" s="6"/>
      <c r="F40" s="6"/>
      <c r="G40" s="6"/>
    </row>
    <row r="41" spans="1:19" s="1" customFormat="1" ht="15.75" x14ac:dyDescent="0.25">
      <c r="A41" s="203" t="s">
        <v>4</v>
      </c>
      <c r="B41" s="203"/>
      <c r="C41" s="203"/>
      <c r="D41" s="203"/>
      <c r="E41" s="203"/>
      <c r="F41" s="203"/>
      <c r="G41" s="203"/>
      <c r="H41" s="203"/>
      <c r="I41" s="203"/>
      <c r="J41" s="203"/>
      <c r="K41" s="35"/>
      <c r="L41" s="35"/>
      <c r="M41" s="35"/>
      <c r="N41" s="35"/>
      <c r="O41" s="35"/>
      <c r="P41" s="35"/>
      <c r="Q41" s="35"/>
      <c r="R41" s="35"/>
      <c r="S41" s="35"/>
    </row>
    <row r="42" spans="1:19" s="40" customFormat="1" ht="15.75" thickBot="1" x14ac:dyDescent="0.3">
      <c r="A42" s="98" t="s">
        <v>10</v>
      </c>
      <c r="B42" s="208" t="s">
        <v>12</v>
      </c>
      <c r="C42" s="208"/>
      <c r="D42" s="98" t="s">
        <v>37</v>
      </c>
      <c r="E42" s="98" t="s">
        <v>73</v>
      </c>
      <c r="F42" s="98" t="s">
        <v>90</v>
      </c>
      <c r="G42" s="98" t="s">
        <v>35</v>
      </c>
      <c r="H42" s="98" t="s">
        <v>74</v>
      </c>
      <c r="I42" s="98" t="s">
        <v>32</v>
      </c>
      <c r="J42" s="144" t="s">
        <v>84</v>
      </c>
      <c r="K42" s="39"/>
      <c r="L42" s="39"/>
      <c r="M42" s="39"/>
      <c r="N42" s="39"/>
      <c r="O42" s="39"/>
      <c r="P42" s="39"/>
      <c r="Q42" s="39"/>
      <c r="R42" s="39"/>
      <c r="S42" s="39"/>
    </row>
    <row r="43" spans="1:19" ht="15.75" thickBot="1" x14ac:dyDescent="0.3">
      <c r="A43" s="46" t="s">
        <v>36</v>
      </c>
      <c r="B43" s="209" t="s">
        <v>12</v>
      </c>
      <c r="C43" s="210"/>
      <c r="D43" s="48" t="s">
        <v>100</v>
      </c>
      <c r="E43" s="18">
        <v>0</v>
      </c>
      <c r="F43" s="11">
        <v>0</v>
      </c>
      <c r="G43" s="42">
        <f>E43*F43</f>
        <v>0</v>
      </c>
      <c r="H43" s="11">
        <v>0</v>
      </c>
      <c r="I43" s="11">
        <v>0</v>
      </c>
      <c r="J43" s="145">
        <f>SUM(G43:H43:I43)</f>
        <v>0</v>
      </c>
    </row>
    <row r="44" spans="1:19" ht="15.75" thickBot="1" x14ac:dyDescent="0.3">
      <c r="A44" s="49" t="s">
        <v>36</v>
      </c>
      <c r="B44" s="204"/>
      <c r="C44" s="205"/>
      <c r="D44" s="50"/>
      <c r="E44" s="19">
        <v>0</v>
      </c>
      <c r="F44" s="12">
        <v>0</v>
      </c>
      <c r="G44" s="42">
        <f>E44*F44</f>
        <v>0</v>
      </c>
      <c r="H44" s="19">
        <v>0</v>
      </c>
      <c r="I44" s="12">
        <v>0</v>
      </c>
      <c r="J44" s="145">
        <f>SUM(G44:H44:I44)</f>
        <v>0</v>
      </c>
    </row>
    <row r="45" spans="1:19" ht="15.75" thickBot="1" x14ac:dyDescent="0.3">
      <c r="A45" s="49" t="s">
        <v>36</v>
      </c>
      <c r="B45" s="204"/>
      <c r="C45" s="205"/>
      <c r="D45" s="50"/>
      <c r="E45" s="19">
        <v>5</v>
      </c>
      <c r="F45" s="12">
        <v>0</v>
      </c>
      <c r="G45" s="42">
        <f>E45*F45</f>
        <v>0</v>
      </c>
      <c r="H45" s="19">
        <v>0</v>
      </c>
      <c r="I45" s="12">
        <v>0</v>
      </c>
      <c r="J45" s="145">
        <f>SUM(G45:H45:I45)</f>
        <v>0</v>
      </c>
    </row>
    <row r="46" spans="1:19" ht="15.75" thickBot="1" x14ac:dyDescent="0.3">
      <c r="A46" s="49"/>
      <c r="B46" s="204"/>
      <c r="C46" s="205"/>
      <c r="D46" s="50"/>
      <c r="E46" s="19">
        <v>0</v>
      </c>
      <c r="F46" s="12">
        <v>0</v>
      </c>
      <c r="G46" s="42">
        <f>E46*F46</f>
        <v>0</v>
      </c>
      <c r="H46" s="19">
        <v>0</v>
      </c>
      <c r="I46" s="12">
        <v>0</v>
      </c>
      <c r="J46" s="145">
        <f>SUM(G46:H46:I46)</f>
        <v>0</v>
      </c>
    </row>
    <row r="47" spans="1:19" x14ac:dyDescent="0.25">
      <c r="A47" s="49"/>
      <c r="B47" s="204"/>
      <c r="C47" s="205"/>
      <c r="D47" s="50"/>
      <c r="E47" s="19">
        <v>0</v>
      </c>
      <c r="F47" s="12">
        <v>0</v>
      </c>
      <c r="G47" s="42">
        <f>E47*F47</f>
        <v>0</v>
      </c>
      <c r="H47" s="19">
        <v>0</v>
      </c>
      <c r="I47" s="12">
        <v>0</v>
      </c>
      <c r="J47" s="145">
        <f>SUM(G47:H47:I47)</f>
        <v>0</v>
      </c>
    </row>
    <row r="48" spans="1:19" ht="15.75" thickBot="1" x14ac:dyDescent="0.3">
      <c r="A48" s="217" t="s">
        <v>11</v>
      </c>
      <c r="B48" s="218"/>
      <c r="C48" s="218"/>
      <c r="D48" s="219"/>
      <c r="E48" s="20">
        <v>0</v>
      </c>
      <c r="F48" s="20">
        <v>0</v>
      </c>
      <c r="G48" s="41">
        <f>SUM(G43:G47)</f>
        <v>0</v>
      </c>
      <c r="H48" s="20"/>
      <c r="I48" s="141">
        <f>SUM(I43:I47)</f>
        <v>0</v>
      </c>
      <c r="J48" s="146">
        <f>SUM(J43:J47)</f>
        <v>0</v>
      </c>
    </row>
    <row r="49" spans="1:19" x14ac:dyDescent="0.25">
      <c r="A49" s="6"/>
      <c r="B49" s="6"/>
      <c r="C49" s="6"/>
      <c r="D49" s="6"/>
      <c r="E49" s="6"/>
      <c r="F49" s="6"/>
      <c r="G49" s="6"/>
      <c r="H49" s="6"/>
      <c r="I49" s="6"/>
      <c r="J49" s="6"/>
    </row>
    <row r="51" spans="1:19" s="1" customFormat="1" ht="15.75" x14ac:dyDescent="0.25">
      <c r="A51" s="203" t="s">
        <v>52</v>
      </c>
      <c r="B51" s="203"/>
      <c r="C51" s="203"/>
      <c r="D51" s="203"/>
      <c r="E51" s="203"/>
      <c r="F51" s="203"/>
      <c r="G51" s="203"/>
      <c r="H51" s="203"/>
      <c r="I51" s="203"/>
      <c r="J51" s="203"/>
      <c r="K51" s="35"/>
      <c r="L51" s="35"/>
      <c r="M51" s="35"/>
      <c r="N51" s="35"/>
      <c r="O51" s="35"/>
      <c r="P51" s="35"/>
      <c r="Q51" s="35"/>
      <c r="R51" s="35"/>
      <c r="S51" s="35"/>
    </row>
    <row r="52" spans="1:19" s="40" customFormat="1" ht="15.75" thickBot="1" x14ac:dyDescent="0.3">
      <c r="A52" s="98" t="s">
        <v>5</v>
      </c>
      <c r="B52" s="98" t="s">
        <v>77</v>
      </c>
      <c r="C52" s="98" t="s">
        <v>15</v>
      </c>
      <c r="D52" s="208" t="s">
        <v>17</v>
      </c>
      <c r="E52" s="208"/>
      <c r="F52" s="220"/>
      <c r="G52" s="37" t="s">
        <v>75</v>
      </c>
      <c r="H52" s="23" t="s">
        <v>44</v>
      </c>
      <c r="I52" s="38" t="s">
        <v>32</v>
      </c>
      <c r="J52" s="98" t="s">
        <v>33</v>
      </c>
      <c r="K52" s="39"/>
      <c r="L52" s="39"/>
      <c r="M52" s="39"/>
      <c r="N52" s="39"/>
      <c r="O52" s="39"/>
      <c r="P52" s="39"/>
      <c r="Q52" s="39"/>
      <c r="R52" s="39"/>
      <c r="S52" s="39"/>
    </row>
    <row r="53" spans="1:19" ht="16.5" thickBot="1" x14ac:dyDescent="0.3">
      <c r="A53" s="51" t="s">
        <v>14</v>
      </c>
      <c r="B53" s="142" t="s">
        <v>77</v>
      </c>
      <c r="C53" s="47" t="s">
        <v>15</v>
      </c>
      <c r="D53" s="221" t="s">
        <v>17</v>
      </c>
      <c r="E53" s="222"/>
      <c r="F53" s="223"/>
      <c r="G53" s="147" t="s">
        <v>101</v>
      </c>
      <c r="H53" s="150">
        <v>0</v>
      </c>
      <c r="I53" s="151">
        <v>0</v>
      </c>
      <c r="J53" s="153">
        <f>SUM(H53:I53)</f>
        <v>0</v>
      </c>
    </row>
    <row r="54" spans="1:19" ht="16.5" thickBot="1" x14ac:dyDescent="0.3">
      <c r="A54" s="52" t="s">
        <v>14</v>
      </c>
      <c r="B54" s="143"/>
      <c r="C54" s="17"/>
      <c r="D54" s="224"/>
      <c r="E54" s="225"/>
      <c r="F54" s="226"/>
      <c r="G54" s="148"/>
      <c r="H54" s="150">
        <v>0</v>
      </c>
      <c r="I54" s="152">
        <v>0</v>
      </c>
      <c r="J54" s="153">
        <v>0</v>
      </c>
    </row>
    <row r="55" spans="1:19" ht="16.5" thickBot="1" x14ac:dyDescent="0.3">
      <c r="A55" s="52" t="s">
        <v>14</v>
      </c>
      <c r="B55" s="143"/>
      <c r="C55" s="17"/>
      <c r="D55" s="224"/>
      <c r="E55" s="225"/>
      <c r="F55" s="226"/>
      <c r="G55" s="148"/>
      <c r="H55" s="150">
        <v>0</v>
      </c>
      <c r="I55" s="152">
        <v>0</v>
      </c>
      <c r="J55" s="153">
        <v>0</v>
      </c>
    </row>
    <row r="56" spans="1:19" ht="16.5" thickBot="1" x14ac:dyDescent="0.3">
      <c r="A56" s="52" t="s">
        <v>14</v>
      </c>
      <c r="B56" s="143"/>
      <c r="C56" s="17"/>
      <c r="D56" s="224"/>
      <c r="E56" s="225"/>
      <c r="F56" s="226"/>
      <c r="G56" s="148"/>
      <c r="H56" s="150">
        <v>0</v>
      </c>
      <c r="I56" s="152">
        <v>0</v>
      </c>
      <c r="J56" s="153">
        <v>0</v>
      </c>
    </row>
    <row r="57" spans="1:19" ht="16.5" thickBot="1" x14ac:dyDescent="0.3">
      <c r="A57" s="52"/>
      <c r="B57" s="143"/>
      <c r="C57" s="17"/>
      <c r="D57" s="224"/>
      <c r="E57" s="225"/>
      <c r="F57" s="226"/>
      <c r="G57" s="148"/>
      <c r="H57" s="150">
        <v>0</v>
      </c>
      <c r="I57" s="189">
        <v>0</v>
      </c>
      <c r="J57" s="153">
        <v>0</v>
      </c>
    </row>
    <row r="58" spans="1:19" ht="16.5" thickBot="1" x14ac:dyDescent="0.3">
      <c r="A58" s="227" t="s">
        <v>11</v>
      </c>
      <c r="B58" s="228"/>
      <c r="C58" s="228"/>
      <c r="D58" s="228"/>
      <c r="E58" s="228"/>
      <c r="F58" s="229"/>
      <c r="G58" s="24"/>
      <c r="H58" s="149"/>
      <c r="I58" s="160">
        <f>SUM(I53:I57)</f>
        <v>0</v>
      </c>
      <c r="J58" s="155">
        <f>SUM(J53:J57)</f>
        <v>0</v>
      </c>
    </row>
    <row r="61" spans="1:19" s="1" customFormat="1" ht="15.75" x14ac:dyDescent="0.25">
      <c r="A61" s="203" t="s">
        <v>54</v>
      </c>
      <c r="B61" s="203"/>
      <c r="C61" s="203"/>
      <c r="D61" s="203"/>
      <c r="E61" s="203"/>
      <c r="F61" s="203"/>
      <c r="G61" s="203"/>
      <c r="H61" s="203"/>
      <c r="I61" s="203"/>
      <c r="J61" s="203"/>
      <c r="K61" s="35"/>
      <c r="L61" s="35"/>
      <c r="M61" s="35"/>
      <c r="N61" s="35"/>
      <c r="O61" s="35"/>
      <c r="P61" s="35"/>
      <c r="Q61" s="35"/>
      <c r="R61" s="35"/>
      <c r="S61" s="35"/>
    </row>
    <row r="62" spans="1:19" s="40" customFormat="1" ht="15.75" thickBot="1" x14ac:dyDescent="0.3">
      <c r="A62" s="98" t="s">
        <v>46</v>
      </c>
      <c r="B62" s="98" t="s">
        <v>80</v>
      </c>
      <c r="C62" s="98" t="s">
        <v>19</v>
      </c>
      <c r="D62" s="98" t="s">
        <v>20</v>
      </c>
      <c r="E62" s="98" t="s">
        <v>21</v>
      </c>
      <c r="F62" s="98" t="s">
        <v>22</v>
      </c>
      <c r="G62" s="98" t="s">
        <v>23</v>
      </c>
      <c r="H62" s="98" t="s">
        <v>83</v>
      </c>
      <c r="I62" s="98" t="s">
        <v>32</v>
      </c>
      <c r="J62" s="98" t="s">
        <v>87</v>
      </c>
      <c r="K62" s="39"/>
      <c r="L62" s="39"/>
      <c r="M62" s="39"/>
      <c r="N62" s="39"/>
      <c r="O62" s="39"/>
      <c r="P62" s="39"/>
      <c r="Q62" s="39"/>
    </row>
    <row r="63" spans="1:19" x14ac:dyDescent="0.25">
      <c r="A63" s="46" t="s">
        <v>46</v>
      </c>
      <c r="B63" s="119" t="s">
        <v>80</v>
      </c>
      <c r="C63" s="47" t="s">
        <v>102</v>
      </c>
      <c r="D63" s="47" t="s">
        <v>103</v>
      </c>
      <c r="E63" s="53" t="s">
        <v>21</v>
      </c>
      <c r="F63" s="11">
        <v>0</v>
      </c>
      <c r="G63" s="27">
        <v>0</v>
      </c>
      <c r="H63" s="156">
        <v>0</v>
      </c>
      <c r="I63" s="162">
        <v>0</v>
      </c>
      <c r="J63" s="163">
        <f>SUM(F63:I63)</f>
        <v>0</v>
      </c>
    </row>
    <row r="64" spans="1:19" x14ac:dyDescent="0.25">
      <c r="A64" s="49" t="s">
        <v>88</v>
      </c>
      <c r="B64" s="120"/>
      <c r="C64" s="17"/>
      <c r="D64" s="17"/>
      <c r="E64" s="17"/>
      <c r="F64" s="12">
        <v>0</v>
      </c>
      <c r="G64" s="28">
        <v>0</v>
      </c>
      <c r="H64" s="157">
        <v>0</v>
      </c>
      <c r="I64" s="164">
        <v>0</v>
      </c>
      <c r="J64" s="165">
        <f t="shared" ref="J64:J67" si="5">SUM(F64:I64)</f>
        <v>0</v>
      </c>
    </row>
    <row r="65" spans="1:10" x14ac:dyDescent="0.25">
      <c r="A65" s="49" t="s">
        <v>88</v>
      </c>
      <c r="B65" s="120"/>
      <c r="C65" s="17"/>
      <c r="D65" s="17"/>
      <c r="E65" s="17"/>
      <c r="F65" s="12">
        <v>0</v>
      </c>
      <c r="G65" s="28">
        <v>0</v>
      </c>
      <c r="H65" s="157">
        <v>0</v>
      </c>
      <c r="I65" s="164">
        <v>0</v>
      </c>
      <c r="J65" s="165">
        <f t="shared" si="5"/>
        <v>0</v>
      </c>
    </row>
    <row r="66" spans="1:10" x14ac:dyDescent="0.25">
      <c r="A66" s="49" t="s">
        <v>88</v>
      </c>
      <c r="B66" s="120"/>
      <c r="C66" s="17"/>
      <c r="D66" s="17"/>
      <c r="E66" s="17"/>
      <c r="F66" s="12">
        <v>0</v>
      </c>
      <c r="G66" s="28">
        <v>0</v>
      </c>
      <c r="H66" s="157">
        <v>0</v>
      </c>
      <c r="I66" s="164">
        <v>0</v>
      </c>
      <c r="J66" s="165">
        <f t="shared" si="5"/>
        <v>0</v>
      </c>
    </row>
    <row r="67" spans="1:10" x14ac:dyDescent="0.25">
      <c r="A67" s="26" t="s">
        <v>88</v>
      </c>
      <c r="B67" s="26"/>
      <c r="C67" s="26"/>
      <c r="D67" s="26"/>
      <c r="E67" s="26"/>
      <c r="F67" s="25"/>
      <c r="G67" s="29"/>
      <c r="H67" s="158">
        <v>0</v>
      </c>
      <c r="I67" s="166">
        <v>0</v>
      </c>
      <c r="J67" s="167">
        <f t="shared" si="5"/>
        <v>0</v>
      </c>
    </row>
    <row r="68" spans="1:10" s="1" customFormat="1" x14ac:dyDescent="0.25">
      <c r="A68" s="214" t="s">
        <v>8</v>
      </c>
      <c r="B68" s="215"/>
      <c r="C68" s="215"/>
      <c r="D68" s="215"/>
      <c r="E68" s="215"/>
      <c r="F68" s="215"/>
      <c r="G68" s="215"/>
      <c r="H68" s="216"/>
      <c r="I68" s="159">
        <f>SUM(I63:I67)</f>
        <v>0</v>
      </c>
      <c r="J68" s="161">
        <f>SUM(J63:J67)</f>
        <v>0</v>
      </c>
    </row>
    <row r="69" spans="1:10" x14ac:dyDescent="0.25">
      <c r="A69" s="1"/>
      <c r="B69" s="1"/>
      <c r="C69" s="1"/>
      <c r="D69" s="1"/>
      <c r="E69" s="1"/>
      <c r="F69" s="1"/>
    </row>
    <row r="71" spans="1:10" x14ac:dyDescent="0.25">
      <c r="A71" s="64" t="s">
        <v>79</v>
      </c>
      <c r="B71" s="64"/>
    </row>
  </sheetData>
  <mergeCells count="36">
    <mergeCell ref="A14:J14"/>
    <mergeCell ref="A1:C1"/>
    <mergeCell ref="B2:C2"/>
    <mergeCell ref="B3:C3"/>
    <mergeCell ref="B4:C4"/>
    <mergeCell ref="B5:C5"/>
    <mergeCell ref="B7:C7"/>
    <mergeCell ref="B8:C8"/>
    <mergeCell ref="B9:C9"/>
    <mergeCell ref="A12:M12"/>
    <mergeCell ref="A13:J13"/>
    <mergeCell ref="E1:J1"/>
    <mergeCell ref="E2:J2"/>
    <mergeCell ref="E3:J3"/>
    <mergeCell ref="A48:D48"/>
    <mergeCell ref="A27:D27"/>
    <mergeCell ref="A29:J29"/>
    <mergeCell ref="A30:J30"/>
    <mergeCell ref="A37:D37"/>
    <mergeCell ref="A41:J41"/>
    <mergeCell ref="B42:C42"/>
    <mergeCell ref="B43:C43"/>
    <mergeCell ref="B44:C44"/>
    <mergeCell ref="B45:C45"/>
    <mergeCell ref="B46:C46"/>
    <mergeCell ref="B47:C47"/>
    <mergeCell ref="D57:F57"/>
    <mergeCell ref="A58:F58"/>
    <mergeCell ref="A61:J61"/>
    <mergeCell ref="A68:H68"/>
    <mergeCell ref="A51:J51"/>
    <mergeCell ref="D52:F52"/>
    <mergeCell ref="D53:F53"/>
    <mergeCell ref="D54:F54"/>
    <mergeCell ref="D55:F55"/>
    <mergeCell ref="D56:F5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025D8-EE21-4945-8AC0-CB79508332A7}">
  <dimension ref="A1:V71"/>
  <sheetViews>
    <sheetView workbookViewId="0">
      <selection activeCell="A13" sqref="A13:J13"/>
    </sheetView>
  </sheetViews>
  <sheetFormatPr defaultRowHeight="15" x14ac:dyDescent="0.25"/>
  <cols>
    <col min="1" max="1" width="25.5703125" customWidth="1"/>
    <col min="2" max="2" width="19.42578125" customWidth="1"/>
    <col min="3" max="3" width="24.85546875" customWidth="1"/>
    <col min="4" max="4" width="17.85546875" customWidth="1"/>
    <col min="5" max="5" width="15.85546875" customWidth="1"/>
    <col min="6" max="6" width="12.85546875" customWidth="1"/>
    <col min="7" max="7" width="15.42578125" customWidth="1"/>
    <col min="8" max="8" width="16.5703125" customWidth="1"/>
    <col min="9" max="9" width="16.7109375" customWidth="1"/>
    <col min="10" max="10" width="19.42578125" customWidth="1"/>
    <col min="11" max="11" width="20.28515625" customWidth="1"/>
    <col min="12" max="12" width="15.42578125" customWidth="1"/>
    <col min="13" max="13" width="21" customWidth="1"/>
  </cols>
  <sheetData>
    <row r="1" spans="1:22" ht="23.25" x14ac:dyDescent="0.35">
      <c r="A1" s="202" t="s">
        <v>31</v>
      </c>
      <c r="B1" s="202"/>
      <c r="C1" s="202"/>
      <c r="D1" s="182"/>
      <c r="E1" s="251" t="s">
        <v>51</v>
      </c>
      <c r="F1" s="251"/>
      <c r="G1" s="251"/>
      <c r="H1" s="251"/>
      <c r="I1" s="251"/>
      <c r="J1" s="251"/>
    </row>
    <row r="2" spans="1:22" x14ac:dyDescent="0.25">
      <c r="A2" s="14" t="s">
        <v>1</v>
      </c>
      <c r="B2" s="239" t="s">
        <v>27</v>
      </c>
      <c r="C2" s="240"/>
      <c r="E2" s="250" t="s">
        <v>93</v>
      </c>
      <c r="F2" s="250"/>
      <c r="G2" s="250"/>
      <c r="H2" s="250"/>
      <c r="I2" s="250"/>
      <c r="J2" s="250"/>
      <c r="K2" s="63"/>
    </row>
    <row r="3" spans="1:22" x14ac:dyDescent="0.25">
      <c r="A3" s="13" t="s">
        <v>55</v>
      </c>
      <c r="B3" s="241" t="s">
        <v>56</v>
      </c>
      <c r="C3" s="242"/>
      <c r="D3" s="31"/>
      <c r="E3" s="252" t="s">
        <v>91</v>
      </c>
      <c r="F3" s="252"/>
      <c r="G3" s="252"/>
      <c r="H3" s="252"/>
      <c r="I3" s="252"/>
      <c r="J3" s="252"/>
      <c r="K3" s="63"/>
    </row>
    <row r="4" spans="1:22" x14ac:dyDescent="0.25">
      <c r="A4" s="13" t="s">
        <v>2</v>
      </c>
      <c r="B4" s="241" t="s">
        <v>28</v>
      </c>
      <c r="C4" s="242"/>
      <c r="D4" s="31"/>
      <c r="K4" s="63"/>
    </row>
    <row r="5" spans="1:22" x14ac:dyDescent="0.25">
      <c r="A5" s="13" t="s">
        <v>0</v>
      </c>
      <c r="B5" s="241" t="s">
        <v>29</v>
      </c>
      <c r="C5" s="242"/>
      <c r="D5" s="31"/>
      <c r="K5" s="63"/>
    </row>
    <row r="6" spans="1:22" x14ac:dyDescent="0.25">
      <c r="A6" s="13" t="s">
        <v>57</v>
      </c>
      <c r="B6" s="180" t="s">
        <v>61</v>
      </c>
      <c r="C6" s="181"/>
      <c r="D6" s="31"/>
      <c r="K6" s="63"/>
    </row>
    <row r="7" spans="1:22" x14ac:dyDescent="0.25">
      <c r="A7" s="13" t="s">
        <v>7</v>
      </c>
      <c r="B7" s="243" t="s">
        <v>30</v>
      </c>
      <c r="C7" s="244"/>
      <c r="D7" s="31"/>
      <c r="K7" s="63"/>
    </row>
    <row r="8" spans="1:22" x14ac:dyDescent="0.25">
      <c r="A8" s="62" t="s">
        <v>25</v>
      </c>
      <c r="B8" s="245">
        <f>SUM(J27+J37+J48+J58+J68)</f>
        <v>0</v>
      </c>
      <c r="C8" s="246"/>
      <c r="D8" s="31"/>
    </row>
    <row r="9" spans="1:22" x14ac:dyDescent="0.25">
      <c r="A9" s="61" t="s">
        <v>3</v>
      </c>
      <c r="B9" s="247">
        <f>SUM(I27+I37+I48+I58+I68)</f>
        <v>0</v>
      </c>
      <c r="C9" s="248"/>
      <c r="D9" s="32" t="s">
        <v>34</v>
      </c>
    </row>
    <row r="10" spans="1:22" s="56" customFormat="1" x14ac:dyDescent="0.25">
      <c r="A10" s="34"/>
      <c r="B10" s="34"/>
      <c r="C10" s="54"/>
      <c r="D10" s="55"/>
      <c r="E10" s="32"/>
    </row>
    <row r="11" spans="1:22" ht="11.25" customHeight="1" x14ac:dyDescent="0.25">
      <c r="A11" s="34"/>
      <c r="B11" s="34"/>
      <c r="C11" s="5"/>
      <c r="D11" s="5"/>
      <c r="E11" s="32"/>
    </row>
    <row r="12" spans="1:22" s="56" customFormat="1" ht="21.75" customHeight="1" x14ac:dyDescent="0.25">
      <c r="A12" s="238" t="s">
        <v>92</v>
      </c>
      <c r="B12" s="238"/>
      <c r="C12" s="238"/>
      <c r="D12" s="238"/>
      <c r="E12" s="238"/>
      <c r="F12" s="238"/>
      <c r="G12" s="238"/>
      <c r="H12" s="238"/>
      <c r="I12" s="238"/>
      <c r="J12" s="238"/>
      <c r="K12" s="238"/>
      <c r="L12" s="238"/>
      <c r="M12" s="238"/>
    </row>
    <row r="13" spans="1:22" x14ac:dyDescent="0.25">
      <c r="A13" s="230" t="s">
        <v>107</v>
      </c>
      <c r="B13" s="231"/>
      <c r="C13" s="231"/>
      <c r="D13" s="231"/>
      <c r="E13" s="231"/>
      <c r="F13" s="231"/>
      <c r="G13" s="231"/>
      <c r="H13" s="231"/>
      <c r="I13" s="231"/>
      <c r="J13" s="231"/>
      <c r="K13" s="68"/>
      <c r="L13" s="68"/>
      <c r="M13" s="68"/>
    </row>
    <row r="14" spans="1:22" s="1" customFormat="1" ht="15.75" x14ac:dyDescent="0.25">
      <c r="A14" s="211" t="s">
        <v>39</v>
      </c>
      <c r="B14" s="211"/>
      <c r="C14" s="211"/>
      <c r="D14" s="211"/>
      <c r="E14" s="211"/>
      <c r="F14" s="211"/>
      <c r="G14" s="211"/>
      <c r="H14" s="211"/>
      <c r="I14" s="211"/>
      <c r="J14" s="211"/>
      <c r="K14" s="67"/>
      <c r="L14" s="67"/>
      <c r="M14" s="67"/>
      <c r="N14" s="35"/>
      <c r="O14" s="35"/>
      <c r="P14" s="35"/>
      <c r="Q14" s="35"/>
      <c r="R14" s="35"/>
      <c r="S14" s="35"/>
      <c r="T14" s="35"/>
      <c r="U14" s="35"/>
      <c r="V14" s="35"/>
    </row>
    <row r="15" spans="1:22" s="40" customFormat="1" ht="15.75" thickBot="1" x14ac:dyDescent="0.3">
      <c r="A15" s="98" t="s">
        <v>58</v>
      </c>
      <c r="B15" s="98" t="s">
        <v>60</v>
      </c>
      <c r="C15" s="98" t="s">
        <v>59</v>
      </c>
      <c r="D15" s="98" t="s">
        <v>41</v>
      </c>
      <c r="E15" s="98" t="s">
        <v>42</v>
      </c>
      <c r="F15" s="98" t="s">
        <v>43</v>
      </c>
      <c r="G15" s="98" t="s">
        <v>44</v>
      </c>
      <c r="H15" s="183" t="s">
        <v>32</v>
      </c>
      <c r="I15" s="98" t="s">
        <v>9</v>
      </c>
      <c r="J15" s="98" t="s">
        <v>85</v>
      </c>
      <c r="K15" s="39"/>
      <c r="L15" s="39"/>
      <c r="M15" s="39"/>
      <c r="N15" s="39"/>
      <c r="O15" s="39"/>
      <c r="P15" s="39"/>
      <c r="Q15" s="39"/>
      <c r="R15" s="39"/>
      <c r="S15" s="39"/>
    </row>
    <row r="16" spans="1:22" ht="15.75" x14ac:dyDescent="0.25">
      <c r="A16" s="4" t="s">
        <v>40</v>
      </c>
      <c r="B16" s="4" t="s">
        <v>62</v>
      </c>
      <c r="C16" s="4" t="s">
        <v>65</v>
      </c>
      <c r="D16" s="4" t="s">
        <v>45</v>
      </c>
      <c r="E16" s="69">
        <v>0</v>
      </c>
      <c r="F16" s="105">
        <v>0</v>
      </c>
      <c r="G16" s="108">
        <f t="shared" ref="G16:G24" si="0">SUM(E16*F16)</f>
        <v>0</v>
      </c>
      <c r="H16" s="115">
        <v>0</v>
      </c>
      <c r="I16" s="112">
        <f>SUM(F16*H16)</f>
        <v>0</v>
      </c>
      <c r="J16" s="123">
        <f>SUM(G16+I16)</f>
        <v>0</v>
      </c>
      <c r="K16" s="36"/>
    </row>
    <row r="17" spans="1:11" ht="15.75" x14ac:dyDescent="0.25">
      <c r="A17" s="4" t="s">
        <v>40</v>
      </c>
      <c r="B17" s="4" t="s">
        <v>63</v>
      </c>
      <c r="C17" s="4" t="s">
        <v>66</v>
      </c>
      <c r="D17" s="4" t="s">
        <v>45</v>
      </c>
      <c r="E17" s="69">
        <v>0</v>
      </c>
      <c r="F17" s="106">
        <v>0</v>
      </c>
      <c r="G17" s="109">
        <f t="shared" si="0"/>
        <v>0</v>
      </c>
      <c r="H17" s="116">
        <v>0</v>
      </c>
      <c r="I17" s="113">
        <f t="shared" ref="I17:I26" si="1">SUM(F17*H17)</f>
        <v>0</v>
      </c>
      <c r="J17" s="124">
        <f t="shared" ref="J17:J26" si="2">SUM(G17+I17)</f>
        <v>0</v>
      </c>
      <c r="K17" s="36"/>
    </row>
    <row r="18" spans="1:11" ht="15.75" x14ac:dyDescent="0.25">
      <c r="A18" s="4" t="s">
        <v>40</v>
      </c>
      <c r="B18" s="4" t="s">
        <v>64</v>
      </c>
      <c r="C18" s="4" t="s">
        <v>67</v>
      </c>
      <c r="D18" s="4" t="s">
        <v>45</v>
      </c>
      <c r="E18" s="69">
        <v>0</v>
      </c>
      <c r="F18" s="106">
        <v>0</v>
      </c>
      <c r="G18" s="109">
        <f t="shared" si="0"/>
        <v>0</v>
      </c>
      <c r="H18" s="116">
        <v>0</v>
      </c>
      <c r="I18" s="113">
        <f t="shared" si="1"/>
        <v>0</v>
      </c>
      <c r="J18" s="124">
        <f t="shared" si="2"/>
        <v>0</v>
      </c>
      <c r="K18" s="36"/>
    </row>
    <row r="19" spans="1:11" ht="15.75" x14ac:dyDescent="0.25">
      <c r="A19" s="4"/>
      <c r="B19" s="4"/>
      <c r="C19" s="4"/>
      <c r="D19" s="65"/>
      <c r="E19" s="70">
        <v>0</v>
      </c>
      <c r="F19" s="106">
        <v>0</v>
      </c>
      <c r="G19" s="109">
        <f t="shared" si="0"/>
        <v>0</v>
      </c>
      <c r="H19" s="116">
        <v>0</v>
      </c>
      <c r="I19" s="113">
        <f t="shared" si="1"/>
        <v>0</v>
      </c>
      <c r="J19" s="124">
        <f t="shared" si="2"/>
        <v>0</v>
      </c>
      <c r="K19" s="36"/>
    </row>
    <row r="20" spans="1:11" ht="15.75" x14ac:dyDescent="0.25">
      <c r="A20" s="4"/>
      <c r="B20" s="4"/>
      <c r="C20" s="4"/>
      <c r="D20" s="65"/>
      <c r="E20" s="70">
        <v>0</v>
      </c>
      <c r="F20" s="106">
        <v>0</v>
      </c>
      <c r="G20" s="109">
        <f t="shared" si="0"/>
        <v>0</v>
      </c>
      <c r="H20" s="116">
        <v>0</v>
      </c>
      <c r="I20" s="113">
        <f t="shared" si="1"/>
        <v>0</v>
      </c>
      <c r="J20" s="124">
        <f t="shared" si="2"/>
        <v>0</v>
      </c>
      <c r="K20" s="36"/>
    </row>
    <row r="21" spans="1:11" ht="15.75" x14ac:dyDescent="0.25">
      <c r="A21" s="4"/>
      <c r="B21" s="4"/>
      <c r="C21" s="4"/>
      <c r="D21" s="65"/>
      <c r="E21" s="70">
        <v>0</v>
      </c>
      <c r="F21" s="106">
        <v>0</v>
      </c>
      <c r="G21" s="109">
        <f t="shared" si="0"/>
        <v>0</v>
      </c>
      <c r="H21" s="116">
        <v>0</v>
      </c>
      <c r="I21" s="113">
        <f t="shared" si="1"/>
        <v>0</v>
      </c>
      <c r="J21" s="124">
        <f t="shared" si="2"/>
        <v>0</v>
      </c>
      <c r="K21" s="36"/>
    </row>
    <row r="22" spans="1:11" ht="15.75" x14ac:dyDescent="0.25">
      <c r="A22" s="4"/>
      <c r="B22" s="4"/>
      <c r="C22" s="4"/>
      <c r="D22" s="65"/>
      <c r="E22" s="70">
        <v>0</v>
      </c>
      <c r="F22" s="106">
        <v>0</v>
      </c>
      <c r="G22" s="110">
        <f t="shared" si="0"/>
        <v>0</v>
      </c>
      <c r="H22" s="116">
        <v>0</v>
      </c>
      <c r="I22" s="113">
        <f t="shared" si="1"/>
        <v>0</v>
      </c>
      <c r="J22" s="124">
        <f t="shared" si="2"/>
        <v>0</v>
      </c>
      <c r="K22" s="36"/>
    </row>
    <row r="23" spans="1:11" ht="15.75" x14ac:dyDescent="0.25">
      <c r="A23" s="4"/>
      <c r="B23" s="4"/>
      <c r="C23" s="4"/>
      <c r="D23" s="65"/>
      <c r="E23" s="70">
        <v>0</v>
      </c>
      <c r="F23" s="107">
        <v>0</v>
      </c>
      <c r="G23" s="111">
        <f t="shared" si="0"/>
        <v>0</v>
      </c>
      <c r="H23" s="116">
        <v>0</v>
      </c>
      <c r="I23" s="113">
        <f t="shared" si="1"/>
        <v>0</v>
      </c>
      <c r="J23" s="124">
        <f t="shared" si="2"/>
        <v>0</v>
      </c>
      <c r="K23" s="36"/>
    </row>
    <row r="24" spans="1:11" ht="15.75" x14ac:dyDescent="0.25">
      <c r="A24" s="4"/>
      <c r="B24" s="4"/>
      <c r="C24" s="4"/>
      <c r="D24" s="65"/>
      <c r="E24" s="104">
        <v>0</v>
      </c>
      <c r="F24" s="7">
        <v>0</v>
      </c>
      <c r="G24" s="111">
        <f t="shared" si="0"/>
        <v>0</v>
      </c>
      <c r="H24" s="116">
        <v>0</v>
      </c>
      <c r="I24" s="114">
        <f t="shared" si="1"/>
        <v>0</v>
      </c>
      <c r="J24" s="124">
        <f t="shared" si="2"/>
        <v>0</v>
      </c>
      <c r="K24" s="36"/>
    </row>
    <row r="25" spans="1:11" ht="15.75" x14ac:dyDescent="0.25">
      <c r="A25" s="15"/>
      <c r="B25" s="117"/>
      <c r="C25" s="4"/>
      <c r="D25" s="65"/>
      <c r="E25" s="43"/>
      <c r="F25" s="7"/>
      <c r="G25" s="9"/>
      <c r="H25" s="116"/>
      <c r="I25" s="114">
        <f t="shared" si="1"/>
        <v>0</v>
      </c>
      <c r="J25" s="124">
        <f t="shared" si="2"/>
        <v>0</v>
      </c>
      <c r="K25" s="36"/>
    </row>
    <row r="26" spans="1:11" ht="16.5" thickBot="1" x14ac:dyDescent="0.3">
      <c r="A26" s="16"/>
      <c r="B26" s="118"/>
      <c r="C26" s="44"/>
      <c r="D26" s="66"/>
      <c r="E26" s="45"/>
      <c r="F26" s="8"/>
      <c r="G26" s="10"/>
      <c r="H26" s="57"/>
      <c r="I26" s="114">
        <f t="shared" si="1"/>
        <v>0</v>
      </c>
      <c r="J26" s="124">
        <f t="shared" si="2"/>
        <v>0</v>
      </c>
      <c r="K26" s="36"/>
    </row>
    <row r="27" spans="1:11" ht="15.75" thickBot="1" x14ac:dyDescent="0.3">
      <c r="A27" s="232"/>
      <c r="B27" s="233"/>
      <c r="C27" s="233"/>
      <c r="D27" s="234"/>
      <c r="E27" s="21"/>
      <c r="F27" s="22"/>
      <c r="G27" s="33"/>
      <c r="H27" s="58"/>
      <c r="I27" s="60">
        <f>SUM(I16:I26)</f>
        <v>0</v>
      </c>
      <c r="J27" s="59">
        <f>SUM(J16:J26)</f>
        <v>0</v>
      </c>
    </row>
    <row r="28" spans="1:11" x14ac:dyDescent="0.25">
      <c r="A28" s="71"/>
      <c r="B28" s="71"/>
      <c r="C28" s="71"/>
      <c r="D28" s="71"/>
      <c r="E28" s="72"/>
      <c r="F28" s="73"/>
      <c r="G28" s="74"/>
      <c r="H28" s="6"/>
      <c r="I28" s="74"/>
      <c r="J28" s="74"/>
    </row>
    <row r="29" spans="1:11" x14ac:dyDescent="0.25">
      <c r="A29" s="230"/>
      <c r="B29" s="231"/>
      <c r="C29" s="231"/>
      <c r="D29" s="231"/>
      <c r="E29" s="231"/>
      <c r="F29" s="231"/>
      <c r="G29" s="231"/>
      <c r="H29" s="231"/>
      <c r="I29" s="231"/>
      <c r="J29" s="231"/>
    </row>
    <row r="30" spans="1:11" ht="15.75" x14ac:dyDescent="0.25">
      <c r="A30" s="211" t="s">
        <v>53</v>
      </c>
      <c r="B30" s="211"/>
      <c r="C30" s="211"/>
      <c r="D30" s="211"/>
      <c r="E30" s="211"/>
      <c r="F30" s="211"/>
      <c r="G30" s="211"/>
      <c r="H30" s="211"/>
      <c r="I30" s="211"/>
      <c r="J30" s="211"/>
    </row>
    <row r="31" spans="1:11" s="188" customFormat="1" ht="17.25" customHeight="1" thickBot="1" x14ac:dyDescent="0.3">
      <c r="A31" s="184" t="s">
        <v>46</v>
      </c>
      <c r="B31" s="184"/>
      <c r="C31" s="184" t="s">
        <v>6</v>
      </c>
      <c r="D31" s="184" t="s">
        <v>37</v>
      </c>
      <c r="E31" s="185" t="s">
        <v>47</v>
      </c>
      <c r="F31" s="186" t="s">
        <v>48</v>
      </c>
      <c r="G31" s="187" t="s">
        <v>49</v>
      </c>
      <c r="H31" s="184" t="s">
        <v>89</v>
      </c>
      <c r="I31" s="187" t="s">
        <v>50</v>
      </c>
      <c r="J31" s="187" t="s">
        <v>86</v>
      </c>
    </row>
    <row r="32" spans="1:11" x14ac:dyDescent="0.25">
      <c r="A32" s="75" t="s">
        <v>46</v>
      </c>
      <c r="B32" s="75"/>
      <c r="C32" s="75" t="s">
        <v>6</v>
      </c>
      <c r="D32" s="125" t="s">
        <v>100</v>
      </c>
      <c r="E32" s="127">
        <v>0</v>
      </c>
      <c r="F32" s="128">
        <v>0</v>
      </c>
      <c r="G32" s="133">
        <f>SUM(E32*F32)</f>
        <v>0</v>
      </c>
      <c r="H32" s="135">
        <v>0</v>
      </c>
      <c r="I32" s="126">
        <f>SUM(F32*H32)</f>
        <v>0</v>
      </c>
      <c r="J32" s="76">
        <f>SUM(G32+I32)</f>
        <v>0</v>
      </c>
    </row>
    <row r="33" spans="1:19" x14ac:dyDescent="0.25">
      <c r="A33" s="75"/>
      <c r="B33" s="75"/>
      <c r="C33" s="75"/>
      <c r="D33" s="125"/>
      <c r="E33" s="129">
        <v>0</v>
      </c>
      <c r="F33" s="130">
        <v>0</v>
      </c>
      <c r="G33" s="133">
        <f>SUM(E33*F33)</f>
        <v>0</v>
      </c>
      <c r="H33" s="136">
        <v>0</v>
      </c>
      <c r="I33" s="126">
        <f t="shared" ref="I33:I36" si="3">SUM(F33*H33)</f>
        <v>0</v>
      </c>
      <c r="J33" s="76">
        <f t="shared" ref="J33:J36" si="4">SUM(G33:I33)</f>
        <v>0</v>
      </c>
    </row>
    <row r="34" spans="1:19" x14ac:dyDescent="0.25">
      <c r="A34" s="75"/>
      <c r="B34" s="75"/>
      <c r="C34" s="75"/>
      <c r="D34" s="125"/>
      <c r="E34" s="129">
        <v>0</v>
      </c>
      <c r="F34" s="130">
        <v>0</v>
      </c>
      <c r="G34" s="133">
        <f>SUM(E34*F34)</f>
        <v>0</v>
      </c>
      <c r="H34" s="136">
        <v>0</v>
      </c>
      <c r="I34" s="126">
        <f t="shared" si="3"/>
        <v>0</v>
      </c>
      <c r="J34" s="76">
        <f t="shared" si="4"/>
        <v>0</v>
      </c>
    </row>
    <row r="35" spans="1:19" x14ac:dyDescent="0.25">
      <c r="A35" s="75"/>
      <c r="B35" s="75"/>
      <c r="C35" s="75"/>
      <c r="D35" s="125"/>
      <c r="E35" s="129">
        <v>0</v>
      </c>
      <c r="F35" s="130">
        <v>0</v>
      </c>
      <c r="G35" s="133">
        <f>SUM(E35*F35)</f>
        <v>0</v>
      </c>
      <c r="H35" s="136">
        <v>0</v>
      </c>
      <c r="I35" s="126">
        <f t="shared" si="3"/>
        <v>0</v>
      </c>
      <c r="J35" s="76">
        <f t="shared" si="4"/>
        <v>0</v>
      </c>
    </row>
    <row r="36" spans="1:19" x14ac:dyDescent="0.25">
      <c r="A36" s="75"/>
      <c r="B36" s="75"/>
      <c r="C36" s="75"/>
      <c r="D36" s="125"/>
      <c r="E36" s="129">
        <v>0</v>
      </c>
      <c r="F36" s="130">
        <v>0</v>
      </c>
      <c r="G36" s="133">
        <f>SUM(E36*F36)</f>
        <v>0</v>
      </c>
      <c r="H36" s="136">
        <v>0</v>
      </c>
      <c r="I36" s="126">
        <f t="shared" si="3"/>
        <v>0</v>
      </c>
      <c r="J36" s="76">
        <f t="shared" si="4"/>
        <v>0</v>
      </c>
    </row>
    <row r="37" spans="1:19" ht="15.75" thickBot="1" x14ac:dyDescent="0.3">
      <c r="A37" s="235" t="s">
        <v>8</v>
      </c>
      <c r="B37" s="236"/>
      <c r="C37" s="236"/>
      <c r="D37" s="237"/>
      <c r="E37" s="131"/>
      <c r="F37" s="132"/>
      <c r="G37" s="133">
        <f>SUM(G32:G36)</f>
        <v>0</v>
      </c>
      <c r="H37" s="8"/>
      <c r="I37" s="134">
        <f>SUM(I32:I36)</f>
        <v>0</v>
      </c>
      <c r="J37" s="122">
        <f>SUM(J32:J36)</f>
        <v>0</v>
      </c>
    </row>
    <row r="38" spans="1:19" s="6" customFormat="1" x14ac:dyDescent="0.25">
      <c r="A38" s="71"/>
      <c r="B38" s="71"/>
      <c r="C38" s="71"/>
      <c r="D38" s="71"/>
      <c r="E38" s="72"/>
      <c r="F38" s="73"/>
      <c r="G38" s="74"/>
      <c r="I38" s="74"/>
      <c r="J38" s="74"/>
    </row>
    <row r="39" spans="1:19" x14ac:dyDescent="0.25">
      <c r="A39" s="71"/>
      <c r="B39" s="71"/>
      <c r="C39" s="71"/>
      <c r="D39" s="71"/>
      <c r="E39" s="72"/>
      <c r="F39" s="73"/>
      <c r="G39" s="74"/>
      <c r="H39" s="6"/>
      <c r="I39" s="74"/>
      <c r="J39" s="74"/>
    </row>
    <row r="40" spans="1:19" x14ac:dyDescent="0.25">
      <c r="A40" s="5"/>
      <c r="B40" s="5"/>
      <c r="C40" s="5"/>
      <c r="D40" s="5"/>
      <c r="E40" s="6"/>
      <c r="F40" s="6"/>
      <c r="G40" s="6"/>
    </row>
    <row r="41" spans="1:19" s="1" customFormat="1" ht="15.75" x14ac:dyDescent="0.25">
      <c r="A41" s="203" t="s">
        <v>4</v>
      </c>
      <c r="B41" s="203"/>
      <c r="C41" s="203"/>
      <c r="D41" s="203"/>
      <c r="E41" s="203"/>
      <c r="F41" s="203"/>
      <c r="G41" s="203"/>
      <c r="H41" s="203"/>
      <c r="I41" s="203"/>
      <c r="J41" s="203"/>
      <c r="K41" s="35"/>
      <c r="L41" s="35"/>
      <c r="M41" s="35"/>
      <c r="N41" s="35"/>
      <c r="O41" s="35"/>
      <c r="P41" s="35"/>
      <c r="Q41" s="35"/>
      <c r="R41" s="35"/>
      <c r="S41" s="35"/>
    </row>
    <row r="42" spans="1:19" s="40" customFormat="1" ht="15.75" thickBot="1" x14ac:dyDescent="0.3">
      <c r="A42" s="98" t="s">
        <v>10</v>
      </c>
      <c r="B42" s="208" t="s">
        <v>12</v>
      </c>
      <c r="C42" s="208"/>
      <c r="D42" s="98" t="s">
        <v>37</v>
      </c>
      <c r="E42" s="98" t="s">
        <v>73</v>
      </c>
      <c r="F42" s="98" t="s">
        <v>90</v>
      </c>
      <c r="G42" s="98" t="s">
        <v>35</v>
      </c>
      <c r="H42" s="98" t="s">
        <v>74</v>
      </c>
      <c r="I42" s="98" t="s">
        <v>32</v>
      </c>
      <c r="J42" s="144" t="s">
        <v>84</v>
      </c>
      <c r="K42" s="39"/>
      <c r="L42" s="39"/>
      <c r="M42" s="39"/>
      <c r="N42" s="39"/>
      <c r="O42" s="39"/>
      <c r="P42" s="39"/>
      <c r="Q42" s="39"/>
      <c r="R42" s="39"/>
      <c r="S42" s="39"/>
    </row>
    <row r="43" spans="1:19" ht="15.75" thickBot="1" x14ac:dyDescent="0.3">
      <c r="A43" s="46" t="s">
        <v>36</v>
      </c>
      <c r="B43" s="209" t="s">
        <v>12</v>
      </c>
      <c r="C43" s="210"/>
      <c r="D43" s="48" t="s">
        <v>100</v>
      </c>
      <c r="E43" s="18">
        <v>0</v>
      </c>
      <c r="F43" s="11">
        <v>0</v>
      </c>
      <c r="G43" s="42">
        <f>E43*F43</f>
        <v>0</v>
      </c>
      <c r="H43" s="11">
        <v>0</v>
      </c>
      <c r="I43" s="11">
        <v>0</v>
      </c>
      <c r="J43" s="145">
        <f>SUM(G43:H43:I43)</f>
        <v>0</v>
      </c>
    </row>
    <row r="44" spans="1:19" ht="15.75" thickBot="1" x14ac:dyDescent="0.3">
      <c r="A44" s="49" t="s">
        <v>36</v>
      </c>
      <c r="B44" s="204"/>
      <c r="C44" s="205"/>
      <c r="D44" s="50"/>
      <c r="E44" s="19">
        <v>0</v>
      </c>
      <c r="F44" s="12">
        <v>0</v>
      </c>
      <c r="G44" s="42">
        <f>E44*F44</f>
        <v>0</v>
      </c>
      <c r="H44" s="19">
        <v>0</v>
      </c>
      <c r="I44" s="12">
        <v>0</v>
      </c>
      <c r="J44" s="145">
        <f>SUM(G44:H44:I44)</f>
        <v>0</v>
      </c>
    </row>
    <row r="45" spans="1:19" ht="15.75" thickBot="1" x14ac:dyDescent="0.3">
      <c r="A45" s="49" t="s">
        <v>36</v>
      </c>
      <c r="B45" s="204"/>
      <c r="C45" s="205"/>
      <c r="D45" s="50"/>
      <c r="E45" s="19">
        <v>5</v>
      </c>
      <c r="F45" s="12">
        <v>0</v>
      </c>
      <c r="G45" s="42">
        <f>E45*F45</f>
        <v>0</v>
      </c>
      <c r="H45" s="19">
        <v>0</v>
      </c>
      <c r="I45" s="12">
        <v>0</v>
      </c>
      <c r="J45" s="145">
        <f>SUM(G45:H45:I45)</f>
        <v>0</v>
      </c>
    </row>
    <row r="46" spans="1:19" ht="15.75" thickBot="1" x14ac:dyDescent="0.3">
      <c r="A46" s="49"/>
      <c r="B46" s="204"/>
      <c r="C46" s="205"/>
      <c r="D46" s="50"/>
      <c r="E46" s="19">
        <v>0</v>
      </c>
      <c r="F46" s="12">
        <v>0</v>
      </c>
      <c r="G46" s="42">
        <f>E46*F46</f>
        <v>0</v>
      </c>
      <c r="H46" s="19">
        <v>0</v>
      </c>
      <c r="I46" s="12">
        <v>0</v>
      </c>
      <c r="J46" s="145">
        <f>SUM(G46:H46:I46)</f>
        <v>0</v>
      </c>
    </row>
    <row r="47" spans="1:19" x14ac:dyDescent="0.25">
      <c r="A47" s="49"/>
      <c r="B47" s="204"/>
      <c r="C47" s="205"/>
      <c r="D47" s="50"/>
      <c r="E47" s="19">
        <v>0</v>
      </c>
      <c r="F47" s="12">
        <v>0</v>
      </c>
      <c r="G47" s="42">
        <f>E47*F47</f>
        <v>0</v>
      </c>
      <c r="H47" s="19">
        <v>0</v>
      </c>
      <c r="I47" s="12">
        <v>0</v>
      </c>
      <c r="J47" s="145">
        <f>SUM(G47:H47:I47)</f>
        <v>0</v>
      </c>
    </row>
    <row r="48" spans="1:19" ht="15.75" thickBot="1" x14ac:dyDescent="0.3">
      <c r="A48" s="217" t="s">
        <v>11</v>
      </c>
      <c r="B48" s="218"/>
      <c r="C48" s="218"/>
      <c r="D48" s="219"/>
      <c r="E48" s="20">
        <v>0</v>
      </c>
      <c r="F48" s="20">
        <v>0</v>
      </c>
      <c r="G48" s="41">
        <f>SUM(G43:G47)</f>
        <v>0</v>
      </c>
      <c r="H48" s="20"/>
      <c r="I48" s="141">
        <f>SUM(I43:I47)</f>
        <v>0</v>
      </c>
      <c r="J48" s="146">
        <f>SUM(J43:J47)</f>
        <v>0</v>
      </c>
    </row>
    <row r="49" spans="1:19" x14ac:dyDescent="0.25">
      <c r="A49" s="6"/>
      <c r="B49" s="6"/>
      <c r="C49" s="6"/>
      <c r="D49" s="6"/>
      <c r="E49" s="6"/>
      <c r="F49" s="6"/>
      <c r="G49" s="6"/>
      <c r="H49" s="6"/>
      <c r="I49" s="6"/>
      <c r="J49" s="6"/>
    </row>
    <row r="51" spans="1:19" s="1" customFormat="1" ht="15.75" x14ac:dyDescent="0.25">
      <c r="A51" s="203" t="s">
        <v>52</v>
      </c>
      <c r="B51" s="203"/>
      <c r="C51" s="203"/>
      <c r="D51" s="203"/>
      <c r="E51" s="203"/>
      <c r="F51" s="203"/>
      <c r="G51" s="203"/>
      <c r="H51" s="203"/>
      <c r="I51" s="203"/>
      <c r="J51" s="203"/>
      <c r="K51" s="35"/>
      <c r="L51" s="35"/>
      <c r="M51" s="35"/>
      <c r="N51" s="35"/>
      <c r="O51" s="35"/>
      <c r="P51" s="35"/>
      <c r="Q51" s="35"/>
      <c r="R51" s="35"/>
      <c r="S51" s="35"/>
    </row>
    <row r="52" spans="1:19" s="40" customFormat="1" ht="15.75" thickBot="1" x14ac:dyDescent="0.3">
      <c r="A52" s="98" t="s">
        <v>5</v>
      </c>
      <c r="B52" s="98" t="s">
        <v>77</v>
      </c>
      <c r="C52" s="98" t="s">
        <v>15</v>
      </c>
      <c r="D52" s="208" t="s">
        <v>17</v>
      </c>
      <c r="E52" s="208"/>
      <c r="F52" s="220"/>
      <c r="G52" s="37" t="s">
        <v>75</v>
      </c>
      <c r="H52" s="23" t="s">
        <v>44</v>
      </c>
      <c r="I52" s="38" t="s">
        <v>32</v>
      </c>
      <c r="J52" s="98" t="s">
        <v>33</v>
      </c>
      <c r="K52" s="39"/>
      <c r="L52" s="39"/>
      <c r="M52" s="39"/>
      <c r="N52" s="39"/>
      <c r="O52" s="39"/>
      <c r="P52" s="39"/>
      <c r="Q52" s="39"/>
      <c r="R52" s="39"/>
      <c r="S52" s="39"/>
    </row>
    <row r="53" spans="1:19" ht="16.5" thickBot="1" x14ac:dyDescent="0.3">
      <c r="A53" s="51" t="s">
        <v>14</v>
      </c>
      <c r="B53" s="142" t="s">
        <v>77</v>
      </c>
      <c r="C53" s="47" t="s">
        <v>15</v>
      </c>
      <c r="D53" s="221" t="s">
        <v>17</v>
      </c>
      <c r="E53" s="222"/>
      <c r="F53" s="223"/>
      <c r="G53" s="147" t="s">
        <v>101</v>
      </c>
      <c r="H53" s="150">
        <v>0</v>
      </c>
      <c r="I53" s="151">
        <v>0</v>
      </c>
      <c r="J53" s="153">
        <f>SUM(H53:I53)</f>
        <v>0</v>
      </c>
    </row>
    <row r="54" spans="1:19" ht="16.5" thickBot="1" x14ac:dyDescent="0.3">
      <c r="A54" s="52" t="s">
        <v>14</v>
      </c>
      <c r="B54" s="143"/>
      <c r="C54" s="17"/>
      <c r="D54" s="224"/>
      <c r="E54" s="225"/>
      <c r="F54" s="226"/>
      <c r="G54" s="148"/>
      <c r="H54" s="150">
        <v>0</v>
      </c>
      <c r="I54" s="152">
        <v>0</v>
      </c>
      <c r="J54" s="153">
        <v>0</v>
      </c>
    </row>
    <row r="55" spans="1:19" ht="16.5" thickBot="1" x14ac:dyDescent="0.3">
      <c r="A55" s="52" t="s">
        <v>14</v>
      </c>
      <c r="B55" s="143"/>
      <c r="C55" s="17"/>
      <c r="D55" s="224"/>
      <c r="E55" s="225"/>
      <c r="F55" s="226"/>
      <c r="G55" s="148"/>
      <c r="H55" s="150">
        <v>0</v>
      </c>
      <c r="I55" s="152">
        <v>0</v>
      </c>
      <c r="J55" s="153">
        <v>0</v>
      </c>
    </row>
    <row r="56" spans="1:19" ht="16.5" thickBot="1" x14ac:dyDescent="0.3">
      <c r="A56" s="52" t="s">
        <v>14</v>
      </c>
      <c r="B56" s="143"/>
      <c r="C56" s="17"/>
      <c r="D56" s="224"/>
      <c r="E56" s="225"/>
      <c r="F56" s="226"/>
      <c r="G56" s="148"/>
      <c r="H56" s="150">
        <v>0</v>
      </c>
      <c r="I56" s="152">
        <v>0</v>
      </c>
      <c r="J56" s="153">
        <v>0</v>
      </c>
    </row>
    <row r="57" spans="1:19" ht="16.5" thickBot="1" x14ac:dyDescent="0.3">
      <c r="A57" s="52"/>
      <c r="B57" s="143"/>
      <c r="C57" s="17"/>
      <c r="D57" s="224"/>
      <c r="E57" s="225"/>
      <c r="F57" s="226"/>
      <c r="G57" s="148"/>
      <c r="H57" s="150">
        <v>0</v>
      </c>
      <c r="I57" s="189">
        <v>0</v>
      </c>
      <c r="J57" s="153">
        <v>0</v>
      </c>
    </row>
    <row r="58" spans="1:19" ht="16.5" thickBot="1" x14ac:dyDescent="0.3">
      <c r="A58" s="227" t="s">
        <v>11</v>
      </c>
      <c r="B58" s="228"/>
      <c r="C58" s="228"/>
      <c r="D58" s="228"/>
      <c r="E58" s="228"/>
      <c r="F58" s="229"/>
      <c r="G58" s="24"/>
      <c r="H58" s="149"/>
      <c r="I58" s="160">
        <f>SUM(I53:I57)</f>
        <v>0</v>
      </c>
      <c r="J58" s="155">
        <f>SUM(J53:J57)</f>
        <v>0</v>
      </c>
    </row>
    <row r="61" spans="1:19" s="1" customFormat="1" ht="15.75" x14ac:dyDescent="0.25">
      <c r="A61" s="203" t="s">
        <v>54</v>
      </c>
      <c r="B61" s="203"/>
      <c r="C61" s="203"/>
      <c r="D61" s="203"/>
      <c r="E61" s="203"/>
      <c r="F61" s="203"/>
      <c r="G61" s="203"/>
      <c r="H61" s="203"/>
      <c r="I61" s="203"/>
      <c r="J61" s="203"/>
      <c r="K61" s="35"/>
      <c r="L61" s="35"/>
      <c r="M61" s="35"/>
      <c r="N61" s="35"/>
      <c r="O61" s="35"/>
      <c r="P61" s="35"/>
      <c r="Q61" s="35"/>
      <c r="R61" s="35"/>
      <c r="S61" s="35"/>
    </row>
    <row r="62" spans="1:19" s="40" customFormat="1" ht="15.75" thickBot="1" x14ac:dyDescent="0.3">
      <c r="A62" s="98" t="s">
        <v>46</v>
      </c>
      <c r="B62" s="98" t="s">
        <v>80</v>
      </c>
      <c r="C62" s="98" t="s">
        <v>19</v>
      </c>
      <c r="D62" s="98" t="s">
        <v>20</v>
      </c>
      <c r="E62" s="98" t="s">
        <v>21</v>
      </c>
      <c r="F62" s="98" t="s">
        <v>22</v>
      </c>
      <c r="G62" s="98" t="s">
        <v>23</v>
      </c>
      <c r="H62" s="98" t="s">
        <v>83</v>
      </c>
      <c r="I62" s="98" t="s">
        <v>32</v>
      </c>
      <c r="J62" s="98" t="s">
        <v>87</v>
      </c>
      <c r="K62" s="39"/>
      <c r="L62" s="39"/>
      <c r="M62" s="39"/>
      <c r="N62" s="39"/>
      <c r="O62" s="39"/>
      <c r="P62" s="39"/>
      <c r="Q62" s="39"/>
    </row>
    <row r="63" spans="1:19" x14ac:dyDescent="0.25">
      <c r="A63" s="46" t="s">
        <v>46</v>
      </c>
      <c r="B63" s="119" t="s">
        <v>80</v>
      </c>
      <c r="C63" s="47" t="s">
        <v>102</v>
      </c>
      <c r="D63" s="47" t="s">
        <v>103</v>
      </c>
      <c r="E63" s="53" t="s">
        <v>21</v>
      </c>
      <c r="F63" s="11">
        <v>0</v>
      </c>
      <c r="G63" s="27">
        <v>0</v>
      </c>
      <c r="H63" s="156">
        <v>0</v>
      </c>
      <c r="I63" s="162">
        <v>0</v>
      </c>
      <c r="J63" s="163">
        <f>SUM(F63:I63)</f>
        <v>0</v>
      </c>
    </row>
    <row r="64" spans="1:19" x14ac:dyDescent="0.25">
      <c r="A64" s="49" t="s">
        <v>88</v>
      </c>
      <c r="B64" s="120"/>
      <c r="C64" s="17"/>
      <c r="D64" s="17"/>
      <c r="E64" s="17"/>
      <c r="F64" s="12">
        <v>0</v>
      </c>
      <c r="G64" s="28">
        <v>0</v>
      </c>
      <c r="H64" s="157">
        <v>0</v>
      </c>
      <c r="I64" s="164">
        <v>0</v>
      </c>
      <c r="J64" s="165">
        <f t="shared" ref="J64:J67" si="5">SUM(F64:I64)</f>
        <v>0</v>
      </c>
    </row>
    <row r="65" spans="1:10" x14ac:dyDescent="0.25">
      <c r="A65" s="49" t="s">
        <v>88</v>
      </c>
      <c r="B65" s="120"/>
      <c r="C65" s="17"/>
      <c r="D65" s="17"/>
      <c r="E65" s="17"/>
      <c r="F65" s="12">
        <v>0</v>
      </c>
      <c r="G65" s="28">
        <v>0</v>
      </c>
      <c r="H65" s="157">
        <v>0</v>
      </c>
      <c r="I65" s="164">
        <v>0</v>
      </c>
      <c r="J65" s="165">
        <f t="shared" si="5"/>
        <v>0</v>
      </c>
    </row>
    <row r="66" spans="1:10" x14ac:dyDescent="0.25">
      <c r="A66" s="49" t="s">
        <v>88</v>
      </c>
      <c r="B66" s="120"/>
      <c r="C66" s="17"/>
      <c r="D66" s="17"/>
      <c r="E66" s="17"/>
      <c r="F66" s="12">
        <v>0</v>
      </c>
      <c r="G66" s="28">
        <v>0</v>
      </c>
      <c r="H66" s="157">
        <v>0</v>
      </c>
      <c r="I66" s="164">
        <v>0</v>
      </c>
      <c r="J66" s="165">
        <f t="shared" si="5"/>
        <v>0</v>
      </c>
    </row>
    <row r="67" spans="1:10" x14ac:dyDescent="0.25">
      <c r="A67" s="26" t="s">
        <v>88</v>
      </c>
      <c r="B67" s="26"/>
      <c r="C67" s="26"/>
      <c r="D67" s="26"/>
      <c r="E67" s="26"/>
      <c r="F67" s="25"/>
      <c r="G67" s="29"/>
      <c r="H67" s="158">
        <v>0</v>
      </c>
      <c r="I67" s="166">
        <v>0</v>
      </c>
      <c r="J67" s="167">
        <f t="shared" si="5"/>
        <v>0</v>
      </c>
    </row>
    <row r="68" spans="1:10" s="1" customFormat="1" x14ac:dyDescent="0.25">
      <c r="A68" s="214" t="s">
        <v>8</v>
      </c>
      <c r="B68" s="215"/>
      <c r="C68" s="215"/>
      <c r="D68" s="215"/>
      <c r="E68" s="215"/>
      <c r="F68" s="215"/>
      <c r="G68" s="215"/>
      <c r="H68" s="216"/>
      <c r="I68" s="159">
        <f>SUM(I63:I67)</f>
        <v>0</v>
      </c>
      <c r="J68" s="161">
        <f>SUM(J63:J67)</f>
        <v>0</v>
      </c>
    </row>
    <row r="69" spans="1:10" x14ac:dyDescent="0.25">
      <c r="A69" s="1"/>
      <c r="B69" s="1"/>
      <c r="C69" s="1"/>
      <c r="D69" s="1"/>
      <c r="E69" s="1"/>
      <c r="F69" s="1"/>
    </row>
    <row r="71" spans="1:10" x14ac:dyDescent="0.25">
      <c r="A71" s="64" t="s">
        <v>79</v>
      </c>
      <c r="B71" s="64"/>
    </row>
  </sheetData>
  <mergeCells count="36">
    <mergeCell ref="A14:J14"/>
    <mergeCell ref="A1:C1"/>
    <mergeCell ref="B2:C2"/>
    <mergeCell ref="B3:C3"/>
    <mergeCell ref="B4:C4"/>
    <mergeCell ref="B5:C5"/>
    <mergeCell ref="B7:C7"/>
    <mergeCell ref="B8:C8"/>
    <mergeCell ref="B9:C9"/>
    <mergeCell ref="A12:M12"/>
    <mergeCell ref="A13:J13"/>
    <mergeCell ref="E1:J1"/>
    <mergeCell ref="E2:J2"/>
    <mergeCell ref="E3:J3"/>
    <mergeCell ref="A48:D48"/>
    <mergeCell ref="A27:D27"/>
    <mergeCell ref="A29:J29"/>
    <mergeCell ref="A30:J30"/>
    <mergeCell ref="A37:D37"/>
    <mergeCell ref="A41:J41"/>
    <mergeCell ref="B42:C42"/>
    <mergeCell ref="B43:C43"/>
    <mergeCell ref="B44:C44"/>
    <mergeCell ref="B45:C45"/>
    <mergeCell ref="B46:C46"/>
    <mergeCell ref="B47:C47"/>
    <mergeCell ref="D57:F57"/>
    <mergeCell ref="A58:F58"/>
    <mergeCell ref="A61:J61"/>
    <mergeCell ref="A68:H68"/>
    <mergeCell ref="A51:J51"/>
    <mergeCell ref="D52:F52"/>
    <mergeCell ref="D53:F53"/>
    <mergeCell ref="D54:F54"/>
    <mergeCell ref="D55:F55"/>
    <mergeCell ref="D56:F5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C9AD0-CECC-4015-AE29-251C5ECDB19F}">
  <dimension ref="A1:V71"/>
  <sheetViews>
    <sheetView workbookViewId="0">
      <selection activeCell="A14" sqref="A14:J14"/>
    </sheetView>
  </sheetViews>
  <sheetFormatPr defaultRowHeight="15" x14ac:dyDescent="0.25"/>
  <cols>
    <col min="1" max="1" width="25.5703125" customWidth="1"/>
    <col min="2" max="2" width="19.42578125" customWidth="1"/>
    <col min="3" max="3" width="24.85546875" customWidth="1"/>
    <col min="4" max="4" width="20.42578125" customWidth="1"/>
    <col min="5" max="5" width="17.140625" customWidth="1"/>
    <col min="6" max="6" width="12.85546875" customWidth="1"/>
    <col min="7" max="7" width="15.42578125" customWidth="1"/>
    <col min="8" max="8" width="16.5703125" customWidth="1"/>
    <col min="9" max="9" width="16.7109375" customWidth="1"/>
    <col min="10" max="10" width="19.42578125" customWidth="1"/>
    <col min="11" max="11" width="20.28515625" customWidth="1"/>
    <col min="12" max="12" width="15.42578125" customWidth="1"/>
    <col min="13" max="13" width="21" customWidth="1"/>
  </cols>
  <sheetData>
    <row r="1" spans="1:22" ht="23.25" x14ac:dyDescent="0.35">
      <c r="A1" s="202" t="s">
        <v>31</v>
      </c>
      <c r="B1" s="202"/>
      <c r="C1" s="202"/>
      <c r="D1" s="182"/>
      <c r="E1" s="251" t="s">
        <v>51</v>
      </c>
      <c r="F1" s="251"/>
      <c r="G1" s="251"/>
      <c r="H1" s="251"/>
      <c r="I1" s="251"/>
      <c r="J1" s="251"/>
    </row>
    <row r="2" spans="1:22" x14ac:dyDescent="0.25">
      <c r="A2" s="14" t="s">
        <v>1</v>
      </c>
      <c r="B2" s="239" t="s">
        <v>27</v>
      </c>
      <c r="C2" s="240"/>
      <c r="E2" s="250" t="s">
        <v>93</v>
      </c>
      <c r="F2" s="250"/>
      <c r="G2" s="250"/>
      <c r="H2" s="250"/>
      <c r="I2" s="250"/>
      <c r="J2" s="250"/>
      <c r="K2" s="63"/>
    </row>
    <row r="3" spans="1:22" x14ac:dyDescent="0.25">
      <c r="A3" s="13" t="s">
        <v>55</v>
      </c>
      <c r="B3" s="241" t="s">
        <v>56</v>
      </c>
      <c r="C3" s="242"/>
      <c r="D3" s="31"/>
      <c r="E3" s="252" t="s">
        <v>91</v>
      </c>
      <c r="F3" s="252"/>
      <c r="G3" s="252"/>
      <c r="H3" s="252"/>
      <c r="I3" s="252"/>
      <c r="J3" s="252"/>
      <c r="K3" s="63"/>
    </row>
    <row r="4" spans="1:22" x14ac:dyDescent="0.25">
      <c r="A4" s="13" t="s">
        <v>2</v>
      </c>
      <c r="B4" s="241" t="s">
        <v>28</v>
      </c>
      <c r="C4" s="242"/>
      <c r="D4" s="31"/>
      <c r="K4" s="63"/>
    </row>
    <row r="5" spans="1:22" x14ac:dyDescent="0.25">
      <c r="A5" s="13" t="s">
        <v>0</v>
      </c>
      <c r="B5" s="241" t="s">
        <v>29</v>
      </c>
      <c r="C5" s="242"/>
      <c r="D5" s="31"/>
      <c r="K5" s="63"/>
    </row>
    <row r="6" spans="1:22" x14ac:dyDescent="0.25">
      <c r="A6" s="13" t="s">
        <v>57</v>
      </c>
      <c r="B6" s="180" t="s">
        <v>61</v>
      </c>
      <c r="C6" s="181"/>
      <c r="D6" s="31"/>
      <c r="K6" s="63"/>
    </row>
    <row r="7" spans="1:22" x14ac:dyDescent="0.25">
      <c r="A7" s="13" t="s">
        <v>7</v>
      </c>
      <c r="B7" s="243" t="s">
        <v>30</v>
      </c>
      <c r="C7" s="244"/>
      <c r="D7" s="31"/>
      <c r="K7" s="63"/>
    </row>
    <row r="8" spans="1:22" x14ac:dyDescent="0.25">
      <c r="A8" s="62" t="s">
        <v>25</v>
      </c>
      <c r="B8" s="245">
        <f>SUM(J27+J37+J48+J58+J68)</f>
        <v>0</v>
      </c>
      <c r="C8" s="246"/>
      <c r="D8" s="31"/>
    </row>
    <row r="9" spans="1:22" x14ac:dyDescent="0.25">
      <c r="A9" s="61" t="s">
        <v>3</v>
      </c>
      <c r="B9" s="247">
        <f>SUM(I27+I37+I48+I58+I68)</f>
        <v>0</v>
      </c>
      <c r="C9" s="248"/>
      <c r="D9" s="32" t="s">
        <v>34</v>
      </c>
    </row>
    <row r="10" spans="1:22" s="56" customFormat="1" x14ac:dyDescent="0.25">
      <c r="A10" s="34"/>
      <c r="B10" s="34"/>
      <c r="C10" s="54"/>
      <c r="D10" s="55"/>
      <c r="E10" s="32"/>
    </row>
    <row r="11" spans="1:22" ht="11.25" customHeight="1" x14ac:dyDescent="0.25">
      <c r="A11" s="34"/>
      <c r="B11" s="34"/>
      <c r="C11" s="5"/>
      <c r="D11" s="5"/>
      <c r="E11" s="32"/>
    </row>
    <row r="12" spans="1:22" s="56" customFormat="1" ht="21.75" customHeight="1" x14ac:dyDescent="0.25">
      <c r="A12" s="238" t="s">
        <v>92</v>
      </c>
      <c r="B12" s="238"/>
      <c r="C12" s="238"/>
      <c r="D12" s="238"/>
      <c r="E12" s="238"/>
      <c r="F12" s="238"/>
      <c r="G12" s="238"/>
      <c r="H12" s="238"/>
      <c r="I12" s="238"/>
      <c r="J12" s="238"/>
      <c r="K12" s="238"/>
      <c r="L12" s="238"/>
      <c r="M12" s="238"/>
    </row>
    <row r="13" spans="1:22" x14ac:dyDescent="0.25">
      <c r="A13" s="230" t="s">
        <v>108</v>
      </c>
      <c r="B13" s="231"/>
      <c r="C13" s="231"/>
      <c r="D13" s="231"/>
      <c r="E13" s="231"/>
      <c r="F13" s="231"/>
      <c r="G13" s="231"/>
      <c r="H13" s="231"/>
      <c r="I13" s="231"/>
      <c r="J13" s="231"/>
      <c r="K13" s="68"/>
      <c r="L13" s="68"/>
      <c r="M13" s="68"/>
    </row>
    <row r="14" spans="1:22" s="1" customFormat="1" ht="15.75" x14ac:dyDescent="0.25">
      <c r="A14" s="211" t="s">
        <v>39</v>
      </c>
      <c r="B14" s="211"/>
      <c r="C14" s="211"/>
      <c r="D14" s="211"/>
      <c r="E14" s="211"/>
      <c r="F14" s="211"/>
      <c r="G14" s="211"/>
      <c r="H14" s="211"/>
      <c r="I14" s="211"/>
      <c r="J14" s="211"/>
      <c r="K14" s="67"/>
      <c r="L14" s="67"/>
      <c r="M14" s="67"/>
      <c r="N14" s="35"/>
      <c r="O14" s="35"/>
      <c r="P14" s="35"/>
      <c r="Q14" s="35"/>
      <c r="R14" s="35"/>
      <c r="S14" s="35"/>
      <c r="T14" s="35"/>
      <c r="U14" s="35"/>
      <c r="V14" s="35"/>
    </row>
    <row r="15" spans="1:22" s="40" customFormat="1" ht="15.75" thickBot="1" x14ac:dyDescent="0.3">
      <c r="A15" s="98" t="s">
        <v>58</v>
      </c>
      <c r="B15" s="98" t="s">
        <v>60</v>
      </c>
      <c r="C15" s="98" t="s">
        <v>59</v>
      </c>
      <c r="D15" s="98" t="s">
        <v>41</v>
      </c>
      <c r="E15" s="98" t="s">
        <v>42</v>
      </c>
      <c r="F15" s="98" t="s">
        <v>43</v>
      </c>
      <c r="G15" s="98" t="s">
        <v>44</v>
      </c>
      <c r="H15" s="183" t="s">
        <v>32</v>
      </c>
      <c r="I15" s="98" t="s">
        <v>9</v>
      </c>
      <c r="J15" s="98" t="s">
        <v>85</v>
      </c>
      <c r="K15" s="39"/>
      <c r="L15" s="39"/>
      <c r="M15" s="39"/>
      <c r="N15" s="39"/>
      <c r="O15" s="39"/>
      <c r="P15" s="39"/>
      <c r="Q15" s="39"/>
      <c r="R15" s="39"/>
      <c r="S15" s="39"/>
    </row>
    <row r="16" spans="1:22" ht="15.75" x14ac:dyDescent="0.25">
      <c r="A16" s="4" t="s">
        <v>40</v>
      </c>
      <c r="B16" s="4" t="s">
        <v>62</v>
      </c>
      <c r="C16" s="4" t="s">
        <v>65</v>
      </c>
      <c r="D16" s="4" t="s">
        <v>45</v>
      </c>
      <c r="E16" s="69">
        <v>0</v>
      </c>
      <c r="F16" s="105">
        <v>0</v>
      </c>
      <c r="G16" s="108">
        <f t="shared" ref="G16:G24" si="0">SUM(E16*F16)</f>
        <v>0</v>
      </c>
      <c r="H16" s="115">
        <v>0</v>
      </c>
      <c r="I16" s="112">
        <f>SUM(F16*H16)</f>
        <v>0</v>
      </c>
      <c r="J16" s="123">
        <f>SUM(G16+I16)</f>
        <v>0</v>
      </c>
      <c r="K16" s="36"/>
    </row>
    <row r="17" spans="1:11" ht="15.75" x14ac:dyDescent="0.25">
      <c r="A17" s="4" t="s">
        <v>40</v>
      </c>
      <c r="B17" s="4" t="s">
        <v>63</v>
      </c>
      <c r="C17" s="4" t="s">
        <v>66</v>
      </c>
      <c r="D17" s="4" t="s">
        <v>45</v>
      </c>
      <c r="E17" s="69">
        <v>0</v>
      </c>
      <c r="F17" s="106">
        <v>0</v>
      </c>
      <c r="G17" s="109">
        <f t="shared" si="0"/>
        <v>0</v>
      </c>
      <c r="H17" s="116">
        <v>0</v>
      </c>
      <c r="I17" s="113">
        <f t="shared" ref="I17:I26" si="1">SUM(F17*H17)</f>
        <v>0</v>
      </c>
      <c r="J17" s="124">
        <f t="shared" ref="J17:J26" si="2">SUM(G17+I17)</f>
        <v>0</v>
      </c>
      <c r="K17" s="36"/>
    </row>
    <row r="18" spans="1:11" ht="15.75" x14ac:dyDescent="0.25">
      <c r="A18" s="4" t="s">
        <v>40</v>
      </c>
      <c r="B18" s="4" t="s">
        <v>64</v>
      </c>
      <c r="C18" s="4" t="s">
        <v>67</v>
      </c>
      <c r="D18" s="4" t="s">
        <v>45</v>
      </c>
      <c r="E18" s="69">
        <v>0</v>
      </c>
      <c r="F18" s="106">
        <v>0</v>
      </c>
      <c r="G18" s="109">
        <f t="shared" si="0"/>
        <v>0</v>
      </c>
      <c r="H18" s="116">
        <v>0</v>
      </c>
      <c r="I18" s="113">
        <f t="shared" si="1"/>
        <v>0</v>
      </c>
      <c r="J18" s="124">
        <f t="shared" si="2"/>
        <v>0</v>
      </c>
      <c r="K18" s="36"/>
    </row>
    <row r="19" spans="1:11" ht="15.75" x14ac:dyDescent="0.25">
      <c r="A19" s="4"/>
      <c r="B19" s="4"/>
      <c r="C19" s="4"/>
      <c r="D19" s="65"/>
      <c r="E19" s="70">
        <v>0</v>
      </c>
      <c r="F19" s="106">
        <v>0</v>
      </c>
      <c r="G19" s="109">
        <f t="shared" si="0"/>
        <v>0</v>
      </c>
      <c r="H19" s="116">
        <v>0</v>
      </c>
      <c r="I19" s="113">
        <f t="shared" si="1"/>
        <v>0</v>
      </c>
      <c r="J19" s="124">
        <f t="shared" si="2"/>
        <v>0</v>
      </c>
      <c r="K19" s="36"/>
    </row>
    <row r="20" spans="1:11" ht="15.75" x14ac:dyDescent="0.25">
      <c r="A20" s="4"/>
      <c r="B20" s="4"/>
      <c r="C20" s="4"/>
      <c r="D20" s="65"/>
      <c r="E20" s="70">
        <v>0</v>
      </c>
      <c r="F20" s="106">
        <v>0</v>
      </c>
      <c r="G20" s="109">
        <f t="shared" si="0"/>
        <v>0</v>
      </c>
      <c r="H20" s="116">
        <v>0</v>
      </c>
      <c r="I20" s="113">
        <f t="shared" si="1"/>
        <v>0</v>
      </c>
      <c r="J20" s="124">
        <f t="shared" si="2"/>
        <v>0</v>
      </c>
      <c r="K20" s="36"/>
    </row>
    <row r="21" spans="1:11" ht="15.75" x14ac:dyDescent="0.25">
      <c r="A21" s="4"/>
      <c r="B21" s="4"/>
      <c r="C21" s="4"/>
      <c r="D21" s="65"/>
      <c r="E21" s="70">
        <v>0</v>
      </c>
      <c r="F21" s="106">
        <v>0</v>
      </c>
      <c r="G21" s="109">
        <f t="shared" si="0"/>
        <v>0</v>
      </c>
      <c r="H21" s="116">
        <v>0</v>
      </c>
      <c r="I21" s="113">
        <f t="shared" si="1"/>
        <v>0</v>
      </c>
      <c r="J21" s="124">
        <f t="shared" si="2"/>
        <v>0</v>
      </c>
      <c r="K21" s="36"/>
    </row>
    <row r="22" spans="1:11" ht="15.75" x14ac:dyDescent="0.25">
      <c r="A22" s="4"/>
      <c r="B22" s="4"/>
      <c r="C22" s="4"/>
      <c r="D22" s="65"/>
      <c r="E22" s="70">
        <v>0</v>
      </c>
      <c r="F22" s="106">
        <v>0</v>
      </c>
      <c r="G22" s="110">
        <f t="shared" si="0"/>
        <v>0</v>
      </c>
      <c r="H22" s="116">
        <v>0</v>
      </c>
      <c r="I22" s="113">
        <f t="shared" si="1"/>
        <v>0</v>
      </c>
      <c r="J22" s="124">
        <f t="shared" si="2"/>
        <v>0</v>
      </c>
      <c r="K22" s="36"/>
    </row>
    <row r="23" spans="1:11" ht="15.75" x14ac:dyDescent="0.25">
      <c r="A23" s="4"/>
      <c r="B23" s="4"/>
      <c r="C23" s="4"/>
      <c r="D23" s="65"/>
      <c r="E23" s="70">
        <v>0</v>
      </c>
      <c r="F23" s="107">
        <v>0</v>
      </c>
      <c r="G23" s="111">
        <f t="shared" si="0"/>
        <v>0</v>
      </c>
      <c r="H23" s="116">
        <v>0</v>
      </c>
      <c r="I23" s="113">
        <f t="shared" si="1"/>
        <v>0</v>
      </c>
      <c r="J23" s="124">
        <f t="shared" si="2"/>
        <v>0</v>
      </c>
      <c r="K23" s="36"/>
    </row>
    <row r="24" spans="1:11" ht="15.75" x14ac:dyDescent="0.25">
      <c r="A24" s="4"/>
      <c r="B24" s="4"/>
      <c r="C24" s="4"/>
      <c r="D24" s="65"/>
      <c r="E24" s="104">
        <v>0</v>
      </c>
      <c r="F24" s="7">
        <v>0</v>
      </c>
      <c r="G24" s="111">
        <f t="shared" si="0"/>
        <v>0</v>
      </c>
      <c r="H24" s="116">
        <v>0</v>
      </c>
      <c r="I24" s="114">
        <f t="shared" si="1"/>
        <v>0</v>
      </c>
      <c r="J24" s="124">
        <f t="shared" si="2"/>
        <v>0</v>
      </c>
      <c r="K24" s="36"/>
    </row>
    <row r="25" spans="1:11" ht="15.75" x14ac:dyDescent="0.25">
      <c r="A25" s="15"/>
      <c r="B25" s="117"/>
      <c r="C25" s="4"/>
      <c r="D25" s="65"/>
      <c r="E25" s="43"/>
      <c r="F25" s="7"/>
      <c r="G25" s="9"/>
      <c r="H25" s="116"/>
      <c r="I25" s="114">
        <f t="shared" si="1"/>
        <v>0</v>
      </c>
      <c r="J25" s="124">
        <f t="shared" si="2"/>
        <v>0</v>
      </c>
      <c r="K25" s="36"/>
    </row>
    <row r="26" spans="1:11" ht="16.5" thickBot="1" x14ac:dyDescent="0.3">
      <c r="A26" s="16"/>
      <c r="B26" s="118"/>
      <c r="C26" s="44"/>
      <c r="D26" s="66"/>
      <c r="E26" s="45"/>
      <c r="F26" s="8"/>
      <c r="G26" s="10"/>
      <c r="H26" s="57"/>
      <c r="I26" s="114">
        <f t="shared" si="1"/>
        <v>0</v>
      </c>
      <c r="J26" s="124">
        <f t="shared" si="2"/>
        <v>0</v>
      </c>
      <c r="K26" s="36"/>
    </row>
    <row r="27" spans="1:11" ht="15.75" thickBot="1" x14ac:dyDescent="0.3">
      <c r="A27" s="232"/>
      <c r="B27" s="233"/>
      <c r="C27" s="233"/>
      <c r="D27" s="234"/>
      <c r="E27" s="21"/>
      <c r="F27" s="22"/>
      <c r="G27" s="33"/>
      <c r="H27" s="58"/>
      <c r="I27" s="60">
        <f>SUM(I16:I26)</f>
        <v>0</v>
      </c>
      <c r="J27" s="59">
        <f>SUM(J16:J26)</f>
        <v>0</v>
      </c>
    </row>
    <row r="28" spans="1:11" x14ac:dyDescent="0.25">
      <c r="A28" s="71"/>
      <c r="B28" s="71"/>
      <c r="C28" s="71"/>
      <c r="D28" s="71"/>
      <c r="E28" s="72"/>
      <c r="F28" s="73"/>
      <c r="G28" s="74"/>
      <c r="H28" s="6"/>
      <c r="I28" s="74"/>
      <c r="J28" s="74"/>
    </row>
    <row r="29" spans="1:11" x14ac:dyDescent="0.25">
      <c r="A29" s="230"/>
      <c r="B29" s="231"/>
      <c r="C29" s="231"/>
      <c r="D29" s="231"/>
      <c r="E29" s="231"/>
      <c r="F29" s="231"/>
      <c r="G29" s="231"/>
      <c r="H29" s="231"/>
      <c r="I29" s="231"/>
      <c r="J29" s="231"/>
    </row>
    <row r="30" spans="1:11" ht="15.75" x14ac:dyDescent="0.25">
      <c r="A30" s="211" t="s">
        <v>53</v>
      </c>
      <c r="B30" s="211"/>
      <c r="C30" s="211"/>
      <c r="D30" s="211"/>
      <c r="E30" s="211"/>
      <c r="F30" s="211"/>
      <c r="G30" s="211"/>
      <c r="H30" s="211"/>
      <c r="I30" s="211"/>
      <c r="J30" s="211"/>
    </row>
    <row r="31" spans="1:11" s="188" customFormat="1" ht="17.25" customHeight="1" thickBot="1" x14ac:dyDescent="0.3">
      <c r="A31" s="184" t="s">
        <v>46</v>
      </c>
      <c r="B31" s="184"/>
      <c r="C31" s="184" t="s">
        <v>6</v>
      </c>
      <c r="D31" s="184" t="s">
        <v>37</v>
      </c>
      <c r="E31" s="185" t="s">
        <v>47</v>
      </c>
      <c r="F31" s="186" t="s">
        <v>48</v>
      </c>
      <c r="G31" s="187" t="s">
        <v>49</v>
      </c>
      <c r="H31" s="184" t="s">
        <v>89</v>
      </c>
      <c r="I31" s="187" t="s">
        <v>50</v>
      </c>
      <c r="J31" s="187" t="s">
        <v>86</v>
      </c>
    </row>
    <row r="32" spans="1:11" x14ac:dyDescent="0.25">
      <c r="A32" s="75" t="s">
        <v>46</v>
      </c>
      <c r="B32" s="75"/>
      <c r="C32" s="75" t="s">
        <v>6</v>
      </c>
      <c r="D32" s="125" t="s">
        <v>100</v>
      </c>
      <c r="E32" s="127">
        <v>0</v>
      </c>
      <c r="F32" s="128">
        <v>0</v>
      </c>
      <c r="G32" s="133">
        <f>SUM(E32*F32)</f>
        <v>0</v>
      </c>
      <c r="H32" s="135">
        <v>0</v>
      </c>
      <c r="I32" s="126">
        <f>SUM(F32*H32)</f>
        <v>0</v>
      </c>
      <c r="J32" s="76">
        <f>SUM(G32+I32)</f>
        <v>0</v>
      </c>
    </row>
    <row r="33" spans="1:19" x14ac:dyDescent="0.25">
      <c r="A33" s="75"/>
      <c r="B33" s="75"/>
      <c r="C33" s="75"/>
      <c r="D33" s="125"/>
      <c r="E33" s="129">
        <v>0</v>
      </c>
      <c r="F33" s="130">
        <v>0</v>
      </c>
      <c r="G33" s="133">
        <f>SUM(E33*F33)</f>
        <v>0</v>
      </c>
      <c r="H33" s="136">
        <v>0</v>
      </c>
      <c r="I33" s="126">
        <f t="shared" ref="I33:I36" si="3">SUM(F33*H33)</f>
        <v>0</v>
      </c>
      <c r="J33" s="76">
        <f t="shared" ref="J33:J36" si="4">SUM(G33:I33)</f>
        <v>0</v>
      </c>
    </row>
    <row r="34" spans="1:19" x14ac:dyDescent="0.25">
      <c r="A34" s="75"/>
      <c r="B34" s="75"/>
      <c r="C34" s="75"/>
      <c r="D34" s="125"/>
      <c r="E34" s="129">
        <v>0</v>
      </c>
      <c r="F34" s="130">
        <v>0</v>
      </c>
      <c r="G34" s="133">
        <f>SUM(E34*F34)</f>
        <v>0</v>
      </c>
      <c r="H34" s="136">
        <v>0</v>
      </c>
      <c r="I34" s="126">
        <f t="shared" si="3"/>
        <v>0</v>
      </c>
      <c r="J34" s="76">
        <f t="shared" si="4"/>
        <v>0</v>
      </c>
    </row>
    <row r="35" spans="1:19" x14ac:dyDescent="0.25">
      <c r="A35" s="75"/>
      <c r="B35" s="75"/>
      <c r="C35" s="75"/>
      <c r="D35" s="125"/>
      <c r="E35" s="129">
        <v>0</v>
      </c>
      <c r="F35" s="130">
        <v>0</v>
      </c>
      <c r="G35" s="133">
        <f>SUM(E35*F35)</f>
        <v>0</v>
      </c>
      <c r="H35" s="136">
        <v>0</v>
      </c>
      <c r="I35" s="126">
        <f t="shared" si="3"/>
        <v>0</v>
      </c>
      <c r="J35" s="76">
        <f t="shared" si="4"/>
        <v>0</v>
      </c>
    </row>
    <row r="36" spans="1:19" x14ac:dyDescent="0.25">
      <c r="A36" s="75"/>
      <c r="B36" s="75"/>
      <c r="C36" s="75"/>
      <c r="D36" s="125"/>
      <c r="E36" s="129">
        <v>0</v>
      </c>
      <c r="F36" s="130">
        <v>0</v>
      </c>
      <c r="G36" s="133">
        <f>SUM(E36*F36)</f>
        <v>0</v>
      </c>
      <c r="H36" s="136">
        <v>0</v>
      </c>
      <c r="I36" s="126">
        <f t="shared" si="3"/>
        <v>0</v>
      </c>
      <c r="J36" s="76">
        <f t="shared" si="4"/>
        <v>0</v>
      </c>
    </row>
    <row r="37" spans="1:19" ht="15.75" thickBot="1" x14ac:dyDescent="0.3">
      <c r="A37" s="235" t="s">
        <v>8</v>
      </c>
      <c r="B37" s="236"/>
      <c r="C37" s="236"/>
      <c r="D37" s="237"/>
      <c r="E37" s="131"/>
      <c r="F37" s="132"/>
      <c r="G37" s="133">
        <f>SUM(G32:G36)</f>
        <v>0</v>
      </c>
      <c r="H37" s="8"/>
      <c r="I37" s="134">
        <f>SUM(I32:I36)</f>
        <v>0</v>
      </c>
      <c r="J37" s="122">
        <f>SUM(J32:J36)</f>
        <v>0</v>
      </c>
    </row>
    <row r="38" spans="1:19" s="6" customFormat="1" x14ac:dyDescent="0.25">
      <c r="A38" s="71"/>
      <c r="B38" s="71"/>
      <c r="C38" s="71"/>
      <c r="D38" s="71"/>
      <c r="E38" s="72"/>
      <c r="F38" s="73"/>
      <c r="G38" s="74"/>
      <c r="I38" s="74"/>
      <c r="J38" s="74"/>
    </row>
    <row r="39" spans="1:19" x14ac:dyDescent="0.25">
      <c r="A39" s="71"/>
      <c r="B39" s="71"/>
      <c r="C39" s="71"/>
      <c r="D39" s="71"/>
      <c r="E39" s="72"/>
      <c r="F39" s="73"/>
      <c r="G39" s="74"/>
      <c r="H39" s="6"/>
      <c r="I39" s="74"/>
      <c r="J39" s="74"/>
    </row>
    <row r="40" spans="1:19" x14ac:dyDescent="0.25">
      <c r="A40" s="5"/>
      <c r="B40" s="5"/>
      <c r="C40" s="5"/>
      <c r="D40" s="5"/>
      <c r="E40" s="6"/>
      <c r="F40" s="6"/>
      <c r="G40" s="6"/>
    </row>
    <row r="41" spans="1:19" s="1" customFormat="1" ht="15.75" x14ac:dyDescent="0.25">
      <c r="A41" s="203" t="s">
        <v>4</v>
      </c>
      <c r="B41" s="203"/>
      <c r="C41" s="203"/>
      <c r="D41" s="203"/>
      <c r="E41" s="203"/>
      <c r="F41" s="203"/>
      <c r="G41" s="203"/>
      <c r="H41" s="203"/>
      <c r="I41" s="203"/>
      <c r="J41" s="203"/>
      <c r="K41" s="35"/>
      <c r="L41" s="35"/>
      <c r="M41" s="35"/>
      <c r="N41" s="35"/>
      <c r="O41" s="35"/>
      <c r="P41" s="35"/>
      <c r="Q41" s="35"/>
      <c r="R41" s="35"/>
      <c r="S41" s="35"/>
    </row>
    <row r="42" spans="1:19" s="40" customFormat="1" ht="15.75" thickBot="1" x14ac:dyDescent="0.3">
      <c r="A42" s="98" t="s">
        <v>10</v>
      </c>
      <c r="B42" s="208" t="s">
        <v>12</v>
      </c>
      <c r="C42" s="208"/>
      <c r="D42" s="98" t="s">
        <v>37</v>
      </c>
      <c r="E42" s="98" t="s">
        <v>73</v>
      </c>
      <c r="F42" s="98" t="s">
        <v>90</v>
      </c>
      <c r="G42" s="98" t="s">
        <v>35</v>
      </c>
      <c r="H42" s="98" t="s">
        <v>74</v>
      </c>
      <c r="I42" s="98" t="s">
        <v>32</v>
      </c>
      <c r="J42" s="144" t="s">
        <v>84</v>
      </c>
      <c r="K42" s="39"/>
      <c r="L42" s="39"/>
      <c r="M42" s="39"/>
      <c r="N42" s="39"/>
      <c r="O42" s="39"/>
      <c r="P42" s="39"/>
      <c r="Q42" s="39"/>
      <c r="R42" s="39"/>
      <c r="S42" s="39"/>
    </row>
    <row r="43" spans="1:19" ht="15.75" thickBot="1" x14ac:dyDescent="0.3">
      <c r="A43" s="46" t="s">
        <v>36</v>
      </c>
      <c r="B43" s="209" t="s">
        <v>12</v>
      </c>
      <c r="C43" s="210"/>
      <c r="D43" s="48" t="s">
        <v>100</v>
      </c>
      <c r="E43" s="18">
        <v>0</v>
      </c>
      <c r="F43" s="11">
        <v>0</v>
      </c>
      <c r="G43" s="42">
        <f>E43*F43</f>
        <v>0</v>
      </c>
      <c r="H43" s="11">
        <v>0</v>
      </c>
      <c r="I43" s="11">
        <v>0</v>
      </c>
      <c r="J43" s="145">
        <f>SUM(G43:H43:I43)</f>
        <v>0</v>
      </c>
    </row>
    <row r="44" spans="1:19" ht="15.75" thickBot="1" x14ac:dyDescent="0.3">
      <c r="A44" s="49" t="s">
        <v>36</v>
      </c>
      <c r="B44" s="204"/>
      <c r="C44" s="205"/>
      <c r="D44" s="50"/>
      <c r="E44" s="19">
        <v>0</v>
      </c>
      <c r="F44" s="12">
        <v>0</v>
      </c>
      <c r="G44" s="42">
        <f>E44*F44</f>
        <v>0</v>
      </c>
      <c r="H44" s="19">
        <v>0</v>
      </c>
      <c r="I44" s="12">
        <v>0</v>
      </c>
      <c r="J44" s="145">
        <f>SUM(G44:H44:I44)</f>
        <v>0</v>
      </c>
    </row>
    <row r="45" spans="1:19" ht="15.75" thickBot="1" x14ac:dyDescent="0.3">
      <c r="A45" s="49" t="s">
        <v>36</v>
      </c>
      <c r="B45" s="204"/>
      <c r="C45" s="205"/>
      <c r="D45" s="50"/>
      <c r="E45" s="19">
        <v>5</v>
      </c>
      <c r="F45" s="12">
        <v>0</v>
      </c>
      <c r="G45" s="42">
        <f>E45*F45</f>
        <v>0</v>
      </c>
      <c r="H45" s="19">
        <v>0</v>
      </c>
      <c r="I45" s="12">
        <v>0</v>
      </c>
      <c r="J45" s="145">
        <f>SUM(G45:H45:I45)</f>
        <v>0</v>
      </c>
    </row>
    <row r="46" spans="1:19" ht="15.75" thickBot="1" x14ac:dyDescent="0.3">
      <c r="A46" s="49"/>
      <c r="B46" s="204"/>
      <c r="C46" s="205"/>
      <c r="D46" s="50"/>
      <c r="E46" s="19">
        <v>0</v>
      </c>
      <c r="F46" s="12">
        <v>0</v>
      </c>
      <c r="G46" s="42">
        <f>E46*F46</f>
        <v>0</v>
      </c>
      <c r="H46" s="19">
        <v>0</v>
      </c>
      <c r="I46" s="12">
        <v>0</v>
      </c>
      <c r="J46" s="145">
        <f>SUM(G46:H46:I46)</f>
        <v>0</v>
      </c>
    </row>
    <row r="47" spans="1:19" x14ac:dyDescent="0.25">
      <c r="A47" s="49"/>
      <c r="B47" s="204"/>
      <c r="C47" s="205"/>
      <c r="D47" s="50"/>
      <c r="E47" s="19">
        <v>0</v>
      </c>
      <c r="F47" s="12">
        <v>0</v>
      </c>
      <c r="G47" s="42">
        <f>E47*F47</f>
        <v>0</v>
      </c>
      <c r="H47" s="19">
        <v>0</v>
      </c>
      <c r="I47" s="12">
        <v>0</v>
      </c>
      <c r="J47" s="145">
        <f>SUM(G47:H47:I47)</f>
        <v>0</v>
      </c>
    </row>
    <row r="48" spans="1:19" ht="15.75" thickBot="1" x14ac:dyDescent="0.3">
      <c r="A48" s="217" t="s">
        <v>11</v>
      </c>
      <c r="B48" s="218"/>
      <c r="C48" s="218"/>
      <c r="D48" s="219"/>
      <c r="E48" s="20">
        <v>0</v>
      </c>
      <c r="F48" s="20">
        <v>0</v>
      </c>
      <c r="G48" s="41">
        <f>SUM(G43:G47)</f>
        <v>0</v>
      </c>
      <c r="H48" s="20"/>
      <c r="I48" s="141">
        <f>SUM(I43:I47)</f>
        <v>0</v>
      </c>
      <c r="J48" s="146">
        <f>SUM(J43:J47)</f>
        <v>0</v>
      </c>
    </row>
    <row r="49" spans="1:19" x14ac:dyDescent="0.25">
      <c r="A49" s="6"/>
      <c r="B49" s="6"/>
      <c r="C49" s="6"/>
      <c r="D49" s="6"/>
      <c r="E49" s="6"/>
      <c r="F49" s="6"/>
      <c r="G49" s="6"/>
      <c r="H49" s="6"/>
      <c r="I49" s="6"/>
      <c r="J49" s="6"/>
    </row>
    <row r="51" spans="1:19" s="1" customFormat="1" ht="15.75" x14ac:dyDescent="0.25">
      <c r="A51" s="203" t="s">
        <v>52</v>
      </c>
      <c r="B51" s="203"/>
      <c r="C51" s="203"/>
      <c r="D51" s="203"/>
      <c r="E51" s="203"/>
      <c r="F51" s="203"/>
      <c r="G51" s="203"/>
      <c r="H51" s="203"/>
      <c r="I51" s="203"/>
      <c r="J51" s="203"/>
      <c r="K51" s="35"/>
      <c r="L51" s="35"/>
      <c r="M51" s="35"/>
      <c r="N51" s="35"/>
      <c r="O51" s="35"/>
      <c r="P51" s="35"/>
      <c r="Q51" s="35"/>
      <c r="R51" s="35"/>
      <c r="S51" s="35"/>
    </row>
    <row r="52" spans="1:19" s="40" customFormat="1" ht="15.75" thickBot="1" x14ac:dyDescent="0.3">
      <c r="A52" s="98" t="s">
        <v>5</v>
      </c>
      <c r="B52" s="98" t="s">
        <v>77</v>
      </c>
      <c r="C52" s="98" t="s">
        <v>15</v>
      </c>
      <c r="D52" s="208" t="s">
        <v>17</v>
      </c>
      <c r="E52" s="208"/>
      <c r="F52" s="220"/>
      <c r="G52" s="37" t="s">
        <v>75</v>
      </c>
      <c r="H52" s="23" t="s">
        <v>44</v>
      </c>
      <c r="I52" s="38" t="s">
        <v>32</v>
      </c>
      <c r="J52" s="98" t="s">
        <v>33</v>
      </c>
      <c r="K52" s="39"/>
      <c r="L52" s="39"/>
      <c r="M52" s="39"/>
      <c r="N52" s="39"/>
      <c r="O52" s="39"/>
      <c r="P52" s="39"/>
      <c r="Q52" s="39"/>
      <c r="R52" s="39"/>
      <c r="S52" s="39"/>
    </row>
    <row r="53" spans="1:19" ht="16.5" thickBot="1" x14ac:dyDescent="0.3">
      <c r="A53" s="51" t="s">
        <v>14</v>
      </c>
      <c r="B53" s="142" t="s">
        <v>77</v>
      </c>
      <c r="C53" s="47" t="s">
        <v>15</v>
      </c>
      <c r="D53" s="221" t="s">
        <v>17</v>
      </c>
      <c r="E53" s="222"/>
      <c r="F53" s="223"/>
      <c r="G53" s="147" t="s">
        <v>101</v>
      </c>
      <c r="H53" s="150">
        <v>0</v>
      </c>
      <c r="I53" s="151">
        <v>0</v>
      </c>
      <c r="J53" s="153">
        <f>SUM(H53:I53)</f>
        <v>0</v>
      </c>
    </row>
    <row r="54" spans="1:19" ht="16.5" thickBot="1" x14ac:dyDescent="0.3">
      <c r="A54" s="52" t="s">
        <v>14</v>
      </c>
      <c r="B54" s="143"/>
      <c r="C54" s="17"/>
      <c r="D54" s="224"/>
      <c r="E54" s="225"/>
      <c r="F54" s="226"/>
      <c r="G54" s="148"/>
      <c r="H54" s="150">
        <v>0</v>
      </c>
      <c r="I54" s="152">
        <v>0</v>
      </c>
      <c r="J54" s="153">
        <v>0</v>
      </c>
    </row>
    <row r="55" spans="1:19" ht="16.5" thickBot="1" x14ac:dyDescent="0.3">
      <c r="A55" s="52" t="s">
        <v>14</v>
      </c>
      <c r="B55" s="143"/>
      <c r="C55" s="17"/>
      <c r="D55" s="224"/>
      <c r="E55" s="225"/>
      <c r="F55" s="226"/>
      <c r="G55" s="148"/>
      <c r="H55" s="150">
        <v>0</v>
      </c>
      <c r="I55" s="152">
        <v>0</v>
      </c>
      <c r="J55" s="153">
        <v>0</v>
      </c>
    </row>
    <row r="56" spans="1:19" ht="16.5" thickBot="1" x14ac:dyDescent="0.3">
      <c r="A56" s="52" t="s">
        <v>14</v>
      </c>
      <c r="B56" s="143"/>
      <c r="C56" s="17"/>
      <c r="D56" s="224"/>
      <c r="E56" s="225"/>
      <c r="F56" s="226"/>
      <c r="G56" s="148"/>
      <c r="H56" s="150">
        <v>0</v>
      </c>
      <c r="I56" s="152">
        <v>0</v>
      </c>
      <c r="J56" s="153">
        <v>0</v>
      </c>
    </row>
    <row r="57" spans="1:19" ht="16.5" thickBot="1" x14ac:dyDescent="0.3">
      <c r="A57" s="52"/>
      <c r="B57" s="143"/>
      <c r="C57" s="17"/>
      <c r="D57" s="224"/>
      <c r="E57" s="225"/>
      <c r="F57" s="226"/>
      <c r="G57" s="148"/>
      <c r="H57" s="150">
        <v>0</v>
      </c>
      <c r="I57" s="189">
        <v>0</v>
      </c>
      <c r="J57" s="153">
        <v>0</v>
      </c>
    </row>
    <row r="58" spans="1:19" ht="16.5" thickBot="1" x14ac:dyDescent="0.3">
      <c r="A58" s="227" t="s">
        <v>11</v>
      </c>
      <c r="B58" s="228"/>
      <c r="C58" s="228"/>
      <c r="D58" s="228"/>
      <c r="E58" s="228"/>
      <c r="F58" s="229"/>
      <c r="G58" s="24"/>
      <c r="H58" s="149"/>
      <c r="I58" s="160">
        <f>SUM(I53:I57)</f>
        <v>0</v>
      </c>
      <c r="J58" s="155">
        <f>SUM(J53:J57)</f>
        <v>0</v>
      </c>
    </row>
    <row r="61" spans="1:19" s="1" customFormat="1" ht="15.75" x14ac:dyDescent="0.25">
      <c r="A61" s="203" t="s">
        <v>54</v>
      </c>
      <c r="B61" s="203"/>
      <c r="C61" s="203"/>
      <c r="D61" s="203"/>
      <c r="E61" s="203"/>
      <c r="F61" s="203"/>
      <c r="G61" s="203"/>
      <c r="H61" s="203"/>
      <c r="I61" s="203"/>
      <c r="J61" s="203"/>
      <c r="K61" s="35"/>
      <c r="L61" s="35"/>
      <c r="M61" s="35"/>
      <c r="N61" s="35"/>
      <c r="O61" s="35"/>
      <c r="P61" s="35"/>
      <c r="Q61" s="35"/>
      <c r="R61" s="35"/>
      <c r="S61" s="35"/>
    </row>
    <row r="62" spans="1:19" s="40" customFormat="1" ht="15.75" thickBot="1" x14ac:dyDescent="0.3">
      <c r="A62" s="98" t="s">
        <v>46</v>
      </c>
      <c r="B62" s="98" t="s">
        <v>80</v>
      </c>
      <c r="C62" s="98" t="s">
        <v>19</v>
      </c>
      <c r="D62" s="98" t="s">
        <v>20</v>
      </c>
      <c r="E62" s="98" t="s">
        <v>21</v>
      </c>
      <c r="F62" s="98" t="s">
        <v>22</v>
      </c>
      <c r="G62" s="98" t="s">
        <v>23</v>
      </c>
      <c r="H62" s="98" t="s">
        <v>83</v>
      </c>
      <c r="I62" s="98" t="s">
        <v>32</v>
      </c>
      <c r="J62" s="98" t="s">
        <v>87</v>
      </c>
      <c r="K62" s="39"/>
      <c r="L62" s="39"/>
      <c r="M62" s="39"/>
      <c r="N62" s="39"/>
      <c r="O62" s="39"/>
      <c r="P62" s="39"/>
      <c r="Q62" s="39"/>
    </row>
    <row r="63" spans="1:19" x14ac:dyDescent="0.25">
      <c r="A63" s="46" t="s">
        <v>46</v>
      </c>
      <c r="B63" s="119" t="s">
        <v>80</v>
      </c>
      <c r="C63" s="47" t="s">
        <v>102</v>
      </c>
      <c r="D63" s="47" t="s">
        <v>103</v>
      </c>
      <c r="E63" s="53" t="s">
        <v>21</v>
      </c>
      <c r="F63" s="11">
        <v>0</v>
      </c>
      <c r="G63" s="27">
        <v>0</v>
      </c>
      <c r="H63" s="156">
        <v>0</v>
      </c>
      <c r="I63" s="162">
        <v>0</v>
      </c>
      <c r="J63" s="163">
        <f>SUM(F63:I63)</f>
        <v>0</v>
      </c>
    </row>
    <row r="64" spans="1:19" x14ac:dyDescent="0.25">
      <c r="A64" s="49" t="s">
        <v>88</v>
      </c>
      <c r="B64" s="120"/>
      <c r="C64" s="17"/>
      <c r="D64" s="17"/>
      <c r="E64" s="17"/>
      <c r="F64" s="12">
        <v>0</v>
      </c>
      <c r="G64" s="28">
        <v>0</v>
      </c>
      <c r="H64" s="157">
        <v>0</v>
      </c>
      <c r="I64" s="164">
        <v>0</v>
      </c>
      <c r="J64" s="165">
        <f t="shared" ref="J64:J67" si="5">SUM(F64:I64)</f>
        <v>0</v>
      </c>
    </row>
    <row r="65" spans="1:10" x14ac:dyDescent="0.25">
      <c r="A65" s="49" t="s">
        <v>88</v>
      </c>
      <c r="B65" s="120"/>
      <c r="C65" s="17"/>
      <c r="D65" s="17"/>
      <c r="E65" s="17"/>
      <c r="F65" s="12">
        <v>0</v>
      </c>
      <c r="G65" s="28">
        <v>0</v>
      </c>
      <c r="H65" s="157">
        <v>0</v>
      </c>
      <c r="I65" s="164">
        <v>0</v>
      </c>
      <c r="J65" s="165">
        <f t="shared" si="5"/>
        <v>0</v>
      </c>
    </row>
    <row r="66" spans="1:10" x14ac:dyDescent="0.25">
      <c r="A66" s="49" t="s">
        <v>88</v>
      </c>
      <c r="B66" s="120"/>
      <c r="C66" s="17"/>
      <c r="D66" s="17"/>
      <c r="E66" s="17"/>
      <c r="F66" s="12">
        <v>0</v>
      </c>
      <c r="G66" s="28">
        <v>0</v>
      </c>
      <c r="H66" s="157">
        <v>0</v>
      </c>
      <c r="I66" s="164">
        <v>0</v>
      </c>
      <c r="J66" s="165">
        <f t="shared" si="5"/>
        <v>0</v>
      </c>
    </row>
    <row r="67" spans="1:10" x14ac:dyDescent="0.25">
      <c r="A67" s="26" t="s">
        <v>88</v>
      </c>
      <c r="B67" s="26"/>
      <c r="C67" s="26"/>
      <c r="D67" s="26"/>
      <c r="E67" s="26"/>
      <c r="F67" s="25"/>
      <c r="G67" s="29"/>
      <c r="H67" s="158">
        <v>0</v>
      </c>
      <c r="I67" s="166">
        <v>0</v>
      </c>
      <c r="J67" s="167">
        <f t="shared" si="5"/>
        <v>0</v>
      </c>
    </row>
    <row r="68" spans="1:10" s="1" customFormat="1" x14ac:dyDescent="0.25">
      <c r="A68" s="214" t="s">
        <v>8</v>
      </c>
      <c r="B68" s="215"/>
      <c r="C68" s="215"/>
      <c r="D68" s="215"/>
      <c r="E68" s="215"/>
      <c r="F68" s="215"/>
      <c r="G68" s="215"/>
      <c r="H68" s="216"/>
      <c r="I68" s="159">
        <f>SUM(I63:I67)</f>
        <v>0</v>
      </c>
      <c r="J68" s="161">
        <f>SUM(J63:J67)</f>
        <v>0</v>
      </c>
    </row>
    <row r="69" spans="1:10" x14ac:dyDescent="0.25">
      <c r="A69" s="1"/>
      <c r="B69" s="1"/>
      <c r="C69" s="1"/>
      <c r="D69" s="1"/>
      <c r="E69" s="1"/>
      <c r="F69" s="1"/>
    </row>
    <row r="71" spans="1:10" x14ac:dyDescent="0.25">
      <c r="A71" s="64" t="s">
        <v>79</v>
      </c>
      <c r="B71" s="64"/>
    </row>
  </sheetData>
  <mergeCells count="36">
    <mergeCell ref="A14:J14"/>
    <mergeCell ref="A1:C1"/>
    <mergeCell ref="B2:C2"/>
    <mergeCell ref="B3:C3"/>
    <mergeCell ref="B4:C4"/>
    <mergeCell ref="B5:C5"/>
    <mergeCell ref="B7:C7"/>
    <mergeCell ref="B8:C8"/>
    <mergeCell ref="B9:C9"/>
    <mergeCell ref="A12:M12"/>
    <mergeCell ref="A13:J13"/>
    <mergeCell ref="E1:J1"/>
    <mergeCell ref="E2:J2"/>
    <mergeCell ref="E3:J3"/>
    <mergeCell ref="A48:D48"/>
    <mergeCell ref="A27:D27"/>
    <mergeCell ref="A29:J29"/>
    <mergeCell ref="A30:J30"/>
    <mergeCell ref="A37:D37"/>
    <mergeCell ref="A41:J41"/>
    <mergeCell ref="B42:C42"/>
    <mergeCell ref="B43:C43"/>
    <mergeCell ref="B44:C44"/>
    <mergeCell ref="B45:C45"/>
    <mergeCell ref="B46:C46"/>
    <mergeCell ref="B47:C47"/>
    <mergeCell ref="D57:F57"/>
    <mergeCell ref="A58:F58"/>
    <mergeCell ref="A61:J61"/>
    <mergeCell ref="A68:H68"/>
    <mergeCell ref="A51:J51"/>
    <mergeCell ref="D52:F52"/>
    <mergeCell ref="D53:F53"/>
    <mergeCell ref="D54:F54"/>
    <mergeCell ref="D55:F55"/>
    <mergeCell ref="D56:F56"/>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D701-0B58-4CA1-8C3D-11AFA66E9D4B}">
  <dimension ref="A1:V71"/>
  <sheetViews>
    <sheetView tabSelected="1" zoomScaleNormal="100" workbookViewId="0">
      <selection activeCell="E9" sqref="E9"/>
    </sheetView>
  </sheetViews>
  <sheetFormatPr defaultRowHeight="15" x14ac:dyDescent="0.25"/>
  <cols>
    <col min="1" max="1" width="25.5703125" customWidth="1"/>
    <col min="2" max="2" width="19.42578125" customWidth="1"/>
    <col min="3" max="3" width="24.85546875" customWidth="1"/>
    <col min="4" max="4" width="20.42578125" customWidth="1"/>
    <col min="5" max="5" width="17.140625" customWidth="1"/>
    <col min="6" max="6" width="12.85546875" customWidth="1"/>
    <col min="7" max="7" width="15.42578125" customWidth="1"/>
    <col min="8" max="8" width="16.5703125" customWidth="1"/>
    <col min="9" max="9" width="16.7109375" customWidth="1"/>
    <col min="10" max="10" width="19.42578125" customWidth="1"/>
    <col min="11" max="11" width="20.28515625" customWidth="1"/>
    <col min="12" max="12" width="15.42578125" customWidth="1"/>
    <col min="13" max="13" width="21" customWidth="1"/>
  </cols>
  <sheetData>
    <row r="1" spans="1:22" ht="23.25" x14ac:dyDescent="0.35">
      <c r="A1" s="202" t="s">
        <v>31</v>
      </c>
      <c r="B1" s="202"/>
      <c r="C1" s="202"/>
      <c r="D1" s="177"/>
      <c r="E1" s="251" t="s">
        <v>51</v>
      </c>
      <c r="F1" s="251"/>
      <c r="G1" s="251"/>
      <c r="H1" s="251"/>
      <c r="I1" s="251"/>
      <c r="J1" s="251"/>
    </row>
    <row r="2" spans="1:22" x14ac:dyDescent="0.25">
      <c r="A2" s="14" t="s">
        <v>1</v>
      </c>
      <c r="B2" s="239" t="s">
        <v>27</v>
      </c>
      <c r="C2" s="240"/>
      <c r="E2" s="250" t="s">
        <v>93</v>
      </c>
      <c r="F2" s="250"/>
      <c r="G2" s="250"/>
      <c r="H2" s="250"/>
      <c r="I2" s="250"/>
      <c r="J2" s="250"/>
      <c r="K2" s="63"/>
    </row>
    <row r="3" spans="1:22" x14ac:dyDescent="0.25">
      <c r="A3" s="13" t="s">
        <v>55</v>
      </c>
      <c r="B3" s="241" t="s">
        <v>56</v>
      </c>
      <c r="C3" s="242"/>
      <c r="D3" s="31"/>
      <c r="E3" s="252" t="s">
        <v>91</v>
      </c>
      <c r="F3" s="252"/>
      <c r="G3" s="252"/>
      <c r="H3" s="252"/>
      <c r="I3" s="252"/>
      <c r="J3" s="252"/>
      <c r="K3" s="63"/>
    </row>
    <row r="4" spans="1:22" x14ac:dyDescent="0.25">
      <c r="A4" s="13" t="s">
        <v>2</v>
      </c>
      <c r="B4" s="241" t="s">
        <v>28</v>
      </c>
      <c r="C4" s="242"/>
      <c r="D4" s="31"/>
      <c r="K4" s="63"/>
    </row>
    <row r="5" spans="1:22" x14ac:dyDescent="0.25">
      <c r="A5" s="13" t="s">
        <v>0</v>
      </c>
      <c r="B5" s="241" t="s">
        <v>29</v>
      </c>
      <c r="C5" s="242"/>
      <c r="D5" s="31"/>
      <c r="K5" s="63"/>
    </row>
    <row r="6" spans="1:22" x14ac:dyDescent="0.25">
      <c r="A6" s="13" t="s">
        <v>57</v>
      </c>
      <c r="B6" s="178" t="s">
        <v>61</v>
      </c>
      <c r="C6" s="179"/>
      <c r="D6" s="31"/>
      <c r="K6" s="63"/>
    </row>
    <row r="7" spans="1:22" x14ac:dyDescent="0.25">
      <c r="A7" s="13" t="s">
        <v>7</v>
      </c>
      <c r="B7" s="243" t="s">
        <v>30</v>
      </c>
      <c r="C7" s="244"/>
      <c r="D7" s="31"/>
      <c r="K7" s="63"/>
    </row>
    <row r="8" spans="1:22" x14ac:dyDescent="0.25">
      <c r="A8" s="62" t="s">
        <v>25</v>
      </c>
      <c r="B8" s="245">
        <f>SUM(J27+J37+J48+J58+J68)</f>
        <v>0</v>
      </c>
      <c r="C8" s="246"/>
      <c r="D8" s="31"/>
    </row>
    <row r="9" spans="1:22" x14ac:dyDescent="0.25">
      <c r="A9" s="61" t="s">
        <v>3</v>
      </c>
      <c r="B9" s="247">
        <f>SUM(I27+I37+I48+I58+I68)</f>
        <v>0</v>
      </c>
      <c r="C9" s="248"/>
      <c r="D9" s="32" t="s">
        <v>34</v>
      </c>
    </row>
    <row r="10" spans="1:22" s="56" customFormat="1" x14ac:dyDescent="0.25">
      <c r="A10" s="34"/>
      <c r="B10" s="34"/>
      <c r="C10" s="54"/>
      <c r="D10" s="55"/>
      <c r="E10" s="32"/>
    </row>
    <row r="11" spans="1:22" ht="11.25" customHeight="1" x14ac:dyDescent="0.25">
      <c r="A11" s="34"/>
      <c r="B11" s="34"/>
      <c r="C11" s="5"/>
      <c r="D11" s="5"/>
      <c r="E11" s="32"/>
    </row>
    <row r="12" spans="1:22" s="56" customFormat="1" ht="21.75" customHeight="1" x14ac:dyDescent="0.25">
      <c r="A12" s="238" t="s">
        <v>92</v>
      </c>
      <c r="B12" s="238"/>
      <c r="C12" s="238"/>
      <c r="D12" s="238"/>
      <c r="E12" s="238"/>
      <c r="F12" s="238"/>
      <c r="G12" s="238"/>
      <c r="H12" s="238"/>
      <c r="I12" s="238"/>
      <c r="J12" s="238"/>
      <c r="K12" s="238"/>
      <c r="L12" s="238"/>
      <c r="M12" s="238"/>
    </row>
    <row r="13" spans="1:22" x14ac:dyDescent="0.25">
      <c r="A13" s="230" t="s">
        <v>104</v>
      </c>
      <c r="B13" s="231"/>
      <c r="C13" s="231"/>
      <c r="D13" s="231"/>
      <c r="E13" s="231"/>
      <c r="F13" s="231"/>
      <c r="G13" s="231"/>
      <c r="H13" s="231"/>
      <c r="I13" s="231"/>
      <c r="J13" s="231"/>
      <c r="K13" s="68"/>
      <c r="L13" s="68"/>
      <c r="M13" s="68"/>
    </row>
    <row r="14" spans="1:22" s="1" customFormat="1" ht="15.75" x14ac:dyDescent="0.25">
      <c r="A14" s="211" t="s">
        <v>39</v>
      </c>
      <c r="B14" s="211"/>
      <c r="C14" s="211"/>
      <c r="D14" s="211"/>
      <c r="E14" s="211"/>
      <c r="F14" s="211"/>
      <c r="G14" s="211"/>
      <c r="H14" s="211"/>
      <c r="I14" s="211"/>
      <c r="J14" s="211"/>
      <c r="K14" s="67"/>
      <c r="L14" s="67"/>
      <c r="M14" s="67"/>
      <c r="N14" s="35"/>
      <c r="O14" s="35"/>
      <c r="P14" s="35"/>
      <c r="Q14" s="35"/>
      <c r="R14" s="35"/>
      <c r="S14" s="35"/>
      <c r="T14" s="35"/>
      <c r="U14" s="35"/>
      <c r="V14" s="35"/>
    </row>
    <row r="15" spans="1:22" s="40" customFormat="1" ht="15.75" thickBot="1" x14ac:dyDescent="0.3">
      <c r="A15" s="98" t="s">
        <v>58</v>
      </c>
      <c r="B15" s="98" t="s">
        <v>60</v>
      </c>
      <c r="C15" s="98" t="s">
        <v>59</v>
      </c>
      <c r="D15" s="98" t="s">
        <v>41</v>
      </c>
      <c r="E15" s="98" t="s">
        <v>42</v>
      </c>
      <c r="F15" s="98" t="s">
        <v>43</v>
      </c>
      <c r="G15" s="98" t="s">
        <v>44</v>
      </c>
      <c r="H15" s="183" t="s">
        <v>32</v>
      </c>
      <c r="I15" s="98" t="s">
        <v>9</v>
      </c>
      <c r="J15" s="98" t="s">
        <v>85</v>
      </c>
      <c r="K15" s="39"/>
      <c r="L15" s="39"/>
      <c r="M15" s="39"/>
      <c r="N15" s="39"/>
      <c r="O15" s="39"/>
      <c r="P15" s="39"/>
      <c r="Q15" s="39"/>
      <c r="R15" s="39"/>
      <c r="S15" s="39"/>
    </row>
    <row r="16" spans="1:22" ht="15.75" x14ac:dyDescent="0.25">
      <c r="A16" s="4" t="s">
        <v>40</v>
      </c>
      <c r="B16" s="4" t="s">
        <v>62</v>
      </c>
      <c r="C16" s="4" t="s">
        <v>65</v>
      </c>
      <c r="D16" s="4" t="s">
        <v>45</v>
      </c>
      <c r="E16" s="69">
        <v>0</v>
      </c>
      <c r="F16" s="105">
        <v>0</v>
      </c>
      <c r="G16" s="108">
        <f t="shared" ref="G16:G24" si="0">SUM(E16*F16)</f>
        <v>0</v>
      </c>
      <c r="H16" s="115">
        <v>0</v>
      </c>
      <c r="I16" s="112">
        <f>SUM(F16*H16)</f>
        <v>0</v>
      </c>
      <c r="J16" s="123">
        <f>SUM(G16+I16)</f>
        <v>0</v>
      </c>
      <c r="K16" s="36"/>
    </row>
    <row r="17" spans="1:11" ht="15.75" x14ac:dyDescent="0.25">
      <c r="A17" s="4" t="s">
        <v>40</v>
      </c>
      <c r="B17" s="4" t="s">
        <v>63</v>
      </c>
      <c r="C17" s="4" t="s">
        <v>66</v>
      </c>
      <c r="D17" s="4" t="s">
        <v>45</v>
      </c>
      <c r="E17" s="69">
        <v>0</v>
      </c>
      <c r="F17" s="106">
        <v>0</v>
      </c>
      <c r="G17" s="109">
        <f t="shared" si="0"/>
        <v>0</v>
      </c>
      <c r="H17" s="116">
        <v>0</v>
      </c>
      <c r="I17" s="113">
        <f t="shared" ref="I17:I26" si="1">SUM(F17*H17)</f>
        <v>0</v>
      </c>
      <c r="J17" s="124">
        <f t="shared" ref="J17:J26" si="2">SUM(G17+I17)</f>
        <v>0</v>
      </c>
      <c r="K17" s="36"/>
    </row>
    <row r="18" spans="1:11" ht="15.75" x14ac:dyDescent="0.25">
      <c r="A18" s="4" t="s">
        <v>40</v>
      </c>
      <c r="B18" s="4" t="s">
        <v>64</v>
      </c>
      <c r="C18" s="4" t="s">
        <v>67</v>
      </c>
      <c r="D18" s="4" t="s">
        <v>45</v>
      </c>
      <c r="E18" s="69">
        <v>0</v>
      </c>
      <c r="F18" s="106">
        <v>0</v>
      </c>
      <c r="G18" s="109">
        <f t="shared" si="0"/>
        <v>0</v>
      </c>
      <c r="H18" s="116">
        <v>0</v>
      </c>
      <c r="I18" s="113">
        <f t="shared" si="1"/>
        <v>0</v>
      </c>
      <c r="J18" s="124">
        <f t="shared" si="2"/>
        <v>0</v>
      </c>
      <c r="K18" s="36"/>
    </row>
    <row r="19" spans="1:11" ht="15.75" x14ac:dyDescent="0.25">
      <c r="A19" s="4"/>
      <c r="B19" s="4"/>
      <c r="C19" s="4"/>
      <c r="D19" s="65"/>
      <c r="E19" s="70">
        <v>0</v>
      </c>
      <c r="F19" s="106">
        <v>0</v>
      </c>
      <c r="G19" s="109">
        <f t="shared" si="0"/>
        <v>0</v>
      </c>
      <c r="H19" s="116">
        <v>0</v>
      </c>
      <c r="I19" s="113">
        <f t="shared" si="1"/>
        <v>0</v>
      </c>
      <c r="J19" s="124">
        <f t="shared" si="2"/>
        <v>0</v>
      </c>
      <c r="K19" s="36"/>
    </row>
    <row r="20" spans="1:11" ht="15.75" x14ac:dyDescent="0.25">
      <c r="A20" s="4"/>
      <c r="B20" s="4"/>
      <c r="C20" s="4"/>
      <c r="D20" s="65"/>
      <c r="E20" s="70">
        <v>0</v>
      </c>
      <c r="F20" s="106">
        <v>0</v>
      </c>
      <c r="G20" s="109">
        <f t="shared" si="0"/>
        <v>0</v>
      </c>
      <c r="H20" s="116">
        <v>0</v>
      </c>
      <c r="I20" s="113">
        <f t="shared" si="1"/>
        <v>0</v>
      </c>
      <c r="J20" s="124">
        <f t="shared" si="2"/>
        <v>0</v>
      </c>
      <c r="K20" s="36"/>
    </row>
    <row r="21" spans="1:11" ht="15.75" x14ac:dyDescent="0.25">
      <c r="A21" s="4"/>
      <c r="B21" s="4"/>
      <c r="C21" s="4"/>
      <c r="D21" s="65"/>
      <c r="E21" s="70">
        <v>0</v>
      </c>
      <c r="F21" s="106">
        <v>0</v>
      </c>
      <c r="G21" s="109">
        <f t="shared" si="0"/>
        <v>0</v>
      </c>
      <c r="H21" s="116">
        <v>0</v>
      </c>
      <c r="I21" s="113">
        <f t="shared" si="1"/>
        <v>0</v>
      </c>
      <c r="J21" s="124">
        <f t="shared" si="2"/>
        <v>0</v>
      </c>
      <c r="K21" s="36"/>
    </row>
    <row r="22" spans="1:11" ht="15.75" x14ac:dyDescent="0.25">
      <c r="A22" s="4"/>
      <c r="B22" s="4"/>
      <c r="C22" s="4"/>
      <c r="D22" s="65"/>
      <c r="E22" s="70">
        <v>0</v>
      </c>
      <c r="F22" s="106">
        <v>0</v>
      </c>
      <c r="G22" s="110">
        <f t="shared" si="0"/>
        <v>0</v>
      </c>
      <c r="H22" s="116">
        <v>0</v>
      </c>
      <c r="I22" s="113">
        <f t="shared" si="1"/>
        <v>0</v>
      </c>
      <c r="J22" s="124">
        <f t="shared" si="2"/>
        <v>0</v>
      </c>
      <c r="K22" s="36"/>
    </row>
    <row r="23" spans="1:11" ht="15.75" x14ac:dyDescent="0.25">
      <c r="A23" s="4"/>
      <c r="B23" s="4"/>
      <c r="C23" s="4"/>
      <c r="D23" s="65"/>
      <c r="E23" s="70">
        <v>0</v>
      </c>
      <c r="F23" s="107">
        <v>0</v>
      </c>
      <c r="G23" s="111">
        <f t="shared" si="0"/>
        <v>0</v>
      </c>
      <c r="H23" s="116">
        <v>0</v>
      </c>
      <c r="I23" s="113">
        <f t="shared" si="1"/>
        <v>0</v>
      </c>
      <c r="J23" s="124">
        <f t="shared" si="2"/>
        <v>0</v>
      </c>
      <c r="K23" s="36"/>
    </row>
    <row r="24" spans="1:11" ht="15.75" x14ac:dyDescent="0.25">
      <c r="A24" s="4"/>
      <c r="B24" s="4"/>
      <c r="C24" s="4"/>
      <c r="D24" s="65"/>
      <c r="E24" s="104">
        <v>0</v>
      </c>
      <c r="F24" s="7">
        <v>0</v>
      </c>
      <c r="G24" s="111">
        <f t="shared" si="0"/>
        <v>0</v>
      </c>
      <c r="H24" s="116">
        <v>0</v>
      </c>
      <c r="I24" s="114">
        <f t="shared" si="1"/>
        <v>0</v>
      </c>
      <c r="J24" s="124">
        <f t="shared" si="2"/>
        <v>0</v>
      </c>
      <c r="K24" s="36"/>
    </row>
    <row r="25" spans="1:11" ht="15.75" x14ac:dyDescent="0.25">
      <c r="A25" s="15"/>
      <c r="B25" s="117"/>
      <c r="C25" s="4"/>
      <c r="D25" s="65"/>
      <c r="E25" s="43"/>
      <c r="F25" s="7"/>
      <c r="G25" s="9"/>
      <c r="H25" s="116"/>
      <c r="I25" s="114">
        <f t="shared" si="1"/>
        <v>0</v>
      </c>
      <c r="J25" s="124">
        <f t="shared" si="2"/>
        <v>0</v>
      </c>
      <c r="K25" s="36"/>
    </row>
    <row r="26" spans="1:11" ht="16.5" thickBot="1" x14ac:dyDescent="0.3">
      <c r="A26" s="16"/>
      <c r="B26" s="118"/>
      <c r="C26" s="44"/>
      <c r="D26" s="66"/>
      <c r="E26" s="45"/>
      <c r="F26" s="8"/>
      <c r="G26" s="10"/>
      <c r="H26" s="57"/>
      <c r="I26" s="114">
        <f t="shared" si="1"/>
        <v>0</v>
      </c>
      <c r="J26" s="124">
        <f t="shared" si="2"/>
        <v>0</v>
      </c>
      <c r="K26" s="36"/>
    </row>
    <row r="27" spans="1:11" ht="15.75" thickBot="1" x14ac:dyDescent="0.3">
      <c r="A27" s="232"/>
      <c r="B27" s="233"/>
      <c r="C27" s="233"/>
      <c r="D27" s="234"/>
      <c r="E27" s="21"/>
      <c r="F27" s="22"/>
      <c r="G27" s="33"/>
      <c r="H27" s="58"/>
      <c r="I27" s="60">
        <f>SUM(I16:I26)</f>
        <v>0</v>
      </c>
      <c r="J27" s="59">
        <f>SUM(J16:J26)</f>
        <v>0</v>
      </c>
    </row>
    <row r="28" spans="1:11" x14ac:dyDescent="0.25">
      <c r="A28" s="71"/>
      <c r="B28" s="71"/>
      <c r="C28" s="71"/>
      <c r="D28" s="71"/>
      <c r="E28" s="72"/>
      <c r="F28" s="73"/>
      <c r="G28" s="74"/>
      <c r="H28" s="6"/>
      <c r="I28" s="74"/>
      <c r="J28" s="74"/>
    </row>
    <row r="29" spans="1:11" x14ac:dyDescent="0.25">
      <c r="A29" s="230"/>
      <c r="B29" s="231"/>
      <c r="C29" s="231"/>
      <c r="D29" s="231"/>
      <c r="E29" s="231"/>
      <c r="F29" s="231"/>
      <c r="G29" s="231"/>
      <c r="H29" s="231"/>
      <c r="I29" s="231"/>
      <c r="J29" s="231"/>
    </row>
    <row r="30" spans="1:11" ht="15.75" x14ac:dyDescent="0.25">
      <c r="A30" s="211" t="s">
        <v>53</v>
      </c>
      <c r="B30" s="211"/>
      <c r="C30" s="211"/>
      <c r="D30" s="211"/>
      <c r="E30" s="211"/>
      <c r="F30" s="211"/>
      <c r="G30" s="211"/>
      <c r="H30" s="211"/>
      <c r="I30" s="211"/>
      <c r="J30" s="211"/>
    </row>
    <row r="31" spans="1:11" s="188" customFormat="1" ht="17.25" customHeight="1" thickBot="1" x14ac:dyDescent="0.3">
      <c r="A31" s="184" t="s">
        <v>46</v>
      </c>
      <c r="B31" s="184"/>
      <c r="C31" s="184" t="s">
        <v>6</v>
      </c>
      <c r="D31" s="184" t="s">
        <v>37</v>
      </c>
      <c r="E31" s="185" t="s">
        <v>47</v>
      </c>
      <c r="F31" s="186" t="s">
        <v>48</v>
      </c>
      <c r="G31" s="187" t="s">
        <v>49</v>
      </c>
      <c r="H31" s="184" t="s">
        <v>89</v>
      </c>
      <c r="I31" s="187" t="s">
        <v>50</v>
      </c>
      <c r="J31" s="187" t="s">
        <v>86</v>
      </c>
    </row>
    <row r="32" spans="1:11" x14ac:dyDescent="0.25">
      <c r="A32" s="75" t="s">
        <v>46</v>
      </c>
      <c r="B32" s="75"/>
      <c r="C32" s="75" t="s">
        <v>6</v>
      </c>
      <c r="D32" s="125" t="s">
        <v>100</v>
      </c>
      <c r="E32" s="127">
        <v>0</v>
      </c>
      <c r="F32" s="128">
        <v>0</v>
      </c>
      <c r="G32" s="133">
        <f>SUM(E32*F32)</f>
        <v>0</v>
      </c>
      <c r="H32" s="135">
        <v>0</v>
      </c>
      <c r="I32" s="126">
        <f>SUM(F32*H32)</f>
        <v>0</v>
      </c>
      <c r="J32" s="76">
        <f>SUM(G32+I32)</f>
        <v>0</v>
      </c>
    </row>
    <row r="33" spans="1:19" x14ac:dyDescent="0.25">
      <c r="A33" s="75"/>
      <c r="B33" s="75"/>
      <c r="C33" s="75"/>
      <c r="D33" s="125"/>
      <c r="E33" s="129">
        <v>0</v>
      </c>
      <c r="F33" s="130">
        <v>0</v>
      </c>
      <c r="G33" s="133">
        <f>SUM(E33*F33)</f>
        <v>0</v>
      </c>
      <c r="H33" s="136">
        <v>0</v>
      </c>
      <c r="I33" s="126">
        <f t="shared" ref="I33:I36" si="3">SUM(F33*H33)</f>
        <v>0</v>
      </c>
      <c r="J33" s="76">
        <f t="shared" ref="J33:J36" si="4">SUM(G33:I33)</f>
        <v>0</v>
      </c>
    </row>
    <row r="34" spans="1:19" x14ac:dyDescent="0.25">
      <c r="A34" s="75"/>
      <c r="B34" s="75"/>
      <c r="C34" s="75"/>
      <c r="D34" s="125"/>
      <c r="E34" s="129">
        <v>0</v>
      </c>
      <c r="F34" s="130">
        <v>0</v>
      </c>
      <c r="G34" s="133">
        <f>SUM(E34*F34)</f>
        <v>0</v>
      </c>
      <c r="H34" s="136">
        <v>0</v>
      </c>
      <c r="I34" s="126">
        <f t="shared" si="3"/>
        <v>0</v>
      </c>
      <c r="J34" s="76">
        <f t="shared" si="4"/>
        <v>0</v>
      </c>
    </row>
    <row r="35" spans="1:19" x14ac:dyDescent="0.25">
      <c r="A35" s="75"/>
      <c r="B35" s="75"/>
      <c r="C35" s="75"/>
      <c r="D35" s="125"/>
      <c r="E35" s="129">
        <v>0</v>
      </c>
      <c r="F35" s="130">
        <v>0</v>
      </c>
      <c r="G35" s="133">
        <f>SUM(E35*F35)</f>
        <v>0</v>
      </c>
      <c r="H35" s="136">
        <v>0</v>
      </c>
      <c r="I35" s="126">
        <f t="shared" si="3"/>
        <v>0</v>
      </c>
      <c r="J35" s="76">
        <f t="shared" si="4"/>
        <v>0</v>
      </c>
    </row>
    <row r="36" spans="1:19" x14ac:dyDescent="0.25">
      <c r="A36" s="75"/>
      <c r="B36" s="75"/>
      <c r="C36" s="75"/>
      <c r="D36" s="125"/>
      <c r="E36" s="129">
        <v>0</v>
      </c>
      <c r="F36" s="130">
        <v>0</v>
      </c>
      <c r="G36" s="133">
        <f>SUM(E36*F36)</f>
        <v>0</v>
      </c>
      <c r="H36" s="136">
        <v>0</v>
      </c>
      <c r="I36" s="126">
        <f t="shared" si="3"/>
        <v>0</v>
      </c>
      <c r="J36" s="76">
        <f t="shared" si="4"/>
        <v>0</v>
      </c>
    </row>
    <row r="37" spans="1:19" ht="15.75" thickBot="1" x14ac:dyDescent="0.3">
      <c r="A37" s="235" t="s">
        <v>8</v>
      </c>
      <c r="B37" s="236"/>
      <c r="C37" s="236"/>
      <c r="D37" s="237"/>
      <c r="E37" s="131"/>
      <c r="F37" s="132"/>
      <c r="G37" s="133">
        <f>SUM(G32:G36)</f>
        <v>0</v>
      </c>
      <c r="H37" s="8"/>
      <c r="I37" s="134">
        <f>SUM(I32:I36)</f>
        <v>0</v>
      </c>
      <c r="J37" s="122">
        <f>SUM(J32:J36)</f>
        <v>0</v>
      </c>
    </row>
    <row r="38" spans="1:19" s="6" customFormat="1" x14ac:dyDescent="0.25">
      <c r="A38" s="71"/>
      <c r="B38" s="71"/>
      <c r="C38" s="71"/>
      <c r="D38" s="71"/>
      <c r="E38" s="72"/>
      <c r="F38" s="73"/>
      <c r="G38" s="74"/>
      <c r="I38" s="74"/>
      <c r="J38" s="74"/>
    </row>
    <row r="39" spans="1:19" x14ac:dyDescent="0.25">
      <c r="A39" s="71"/>
      <c r="B39" s="71"/>
      <c r="C39" s="71"/>
      <c r="D39" s="71"/>
      <c r="E39" s="72"/>
      <c r="F39" s="73"/>
      <c r="G39" s="74"/>
      <c r="H39" s="6"/>
      <c r="I39" s="74"/>
      <c r="J39" s="74"/>
    </row>
    <row r="40" spans="1:19" x14ac:dyDescent="0.25">
      <c r="A40" s="5"/>
      <c r="B40" s="5"/>
      <c r="C40" s="5"/>
      <c r="D40" s="5"/>
      <c r="E40" s="6"/>
      <c r="F40" s="6"/>
      <c r="G40" s="6"/>
    </row>
    <row r="41" spans="1:19" s="1" customFormat="1" ht="15.75" x14ac:dyDescent="0.25">
      <c r="A41" s="203" t="s">
        <v>4</v>
      </c>
      <c r="B41" s="203"/>
      <c r="C41" s="203"/>
      <c r="D41" s="203"/>
      <c r="E41" s="203"/>
      <c r="F41" s="203"/>
      <c r="G41" s="203"/>
      <c r="H41" s="203"/>
      <c r="I41" s="203"/>
      <c r="J41" s="203"/>
      <c r="K41" s="35"/>
      <c r="L41" s="35"/>
      <c r="M41" s="35"/>
      <c r="N41" s="35"/>
      <c r="O41" s="35"/>
      <c r="P41" s="35"/>
      <c r="Q41" s="35"/>
      <c r="R41" s="35"/>
      <c r="S41" s="35"/>
    </row>
    <row r="42" spans="1:19" s="40" customFormat="1" ht="15.75" thickBot="1" x14ac:dyDescent="0.3">
      <c r="A42" s="98" t="s">
        <v>10</v>
      </c>
      <c r="B42" s="208" t="s">
        <v>12</v>
      </c>
      <c r="C42" s="208"/>
      <c r="D42" s="98" t="s">
        <v>37</v>
      </c>
      <c r="E42" s="98" t="s">
        <v>73</v>
      </c>
      <c r="F42" s="98" t="s">
        <v>90</v>
      </c>
      <c r="G42" s="98" t="s">
        <v>35</v>
      </c>
      <c r="H42" s="98" t="s">
        <v>74</v>
      </c>
      <c r="I42" s="98" t="s">
        <v>32</v>
      </c>
      <c r="J42" s="144" t="s">
        <v>84</v>
      </c>
      <c r="K42" s="39"/>
      <c r="L42" s="39"/>
      <c r="M42" s="39"/>
      <c r="N42" s="39"/>
      <c r="O42" s="39"/>
      <c r="P42" s="39"/>
      <c r="Q42" s="39"/>
      <c r="R42" s="39"/>
      <c r="S42" s="39"/>
    </row>
    <row r="43" spans="1:19" ht="15.75" thickBot="1" x14ac:dyDescent="0.3">
      <c r="A43" s="46" t="s">
        <v>36</v>
      </c>
      <c r="B43" s="209" t="s">
        <v>12</v>
      </c>
      <c r="C43" s="210"/>
      <c r="D43" s="48" t="s">
        <v>100</v>
      </c>
      <c r="E43" s="18">
        <v>0</v>
      </c>
      <c r="F43" s="11">
        <v>0</v>
      </c>
      <c r="G43" s="42">
        <f>E43*F43</f>
        <v>0</v>
      </c>
      <c r="H43" s="11">
        <v>0</v>
      </c>
      <c r="I43" s="11">
        <v>0</v>
      </c>
      <c r="J43" s="145">
        <f>SUM(G43:H43:I43)</f>
        <v>0</v>
      </c>
    </row>
    <row r="44" spans="1:19" ht="15.75" thickBot="1" x14ac:dyDescent="0.3">
      <c r="A44" s="49" t="s">
        <v>36</v>
      </c>
      <c r="B44" s="204"/>
      <c r="C44" s="205"/>
      <c r="D44" s="50"/>
      <c r="E44" s="19">
        <v>0</v>
      </c>
      <c r="F44" s="12">
        <v>0</v>
      </c>
      <c r="G44" s="42">
        <f>E44*F44</f>
        <v>0</v>
      </c>
      <c r="H44" s="19">
        <v>0</v>
      </c>
      <c r="I44" s="12">
        <v>0</v>
      </c>
      <c r="J44" s="145">
        <f>SUM(G44:H44:I44)</f>
        <v>0</v>
      </c>
    </row>
    <row r="45" spans="1:19" ht="15.75" thickBot="1" x14ac:dyDescent="0.3">
      <c r="A45" s="49" t="s">
        <v>36</v>
      </c>
      <c r="B45" s="204"/>
      <c r="C45" s="205"/>
      <c r="D45" s="50"/>
      <c r="E45" s="19">
        <v>5</v>
      </c>
      <c r="F45" s="12">
        <v>0</v>
      </c>
      <c r="G45" s="42">
        <f>E45*F45</f>
        <v>0</v>
      </c>
      <c r="H45" s="19">
        <v>0</v>
      </c>
      <c r="I45" s="12">
        <v>0</v>
      </c>
      <c r="J45" s="145">
        <f>SUM(G45:H45:I45)</f>
        <v>0</v>
      </c>
    </row>
    <row r="46" spans="1:19" ht="15.75" thickBot="1" x14ac:dyDescent="0.3">
      <c r="A46" s="49"/>
      <c r="B46" s="204"/>
      <c r="C46" s="205"/>
      <c r="D46" s="50"/>
      <c r="E46" s="19">
        <v>0</v>
      </c>
      <c r="F46" s="12">
        <v>0</v>
      </c>
      <c r="G46" s="42">
        <f>E46*F46</f>
        <v>0</v>
      </c>
      <c r="H46" s="19">
        <v>0</v>
      </c>
      <c r="I46" s="12">
        <v>0</v>
      </c>
      <c r="J46" s="145">
        <f>SUM(G46:H46:I46)</f>
        <v>0</v>
      </c>
    </row>
    <row r="47" spans="1:19" x14ac:dyDescent="0.25">
      <c r="A47" s="49"/>
      <c r="B47" s="204"/>
      <c r="C47" s="205"/>
      <c r="D47" s="50"/>
      <c r="E47" s="19">
        <v>0</v>
      </c>
      <c r="F47" s="12">
        <v>0</v>
      </c>
      <c r="G47" s="42">
        <f>E47*F47</f>
        <v>0</v>
      </c>
      <c r="H47" s="19">
        <v>0</v>
      </c>
      <c r="I47" s="12">
        <v>0</v>
      </c>
      <c r="J47" s="145">
        <f>SUM(G47:H47:I47)</f>
        <v>0</v>
      </c>
    </row>
    <row r="48" spans="1:19" ht="15.75" thickBot="1" x14ac:dyDescent="0.3">
      <c r="A48" s="217" t="s">
        <v>11</v>
      </c>
      <c r="B48" s="218"/>
      <c r="C48" s="218"/>
      <c r="D48" s="219"/>
      <c r="E48" s="20">
        <v>0</v>
      </c>
      <c r="F48" s="20">
        <v>0</v>
      </c>
      <c r="G48" s="41">
        <f>SUM(G43:G47)</f>
        <v>0</v>
      </c>
      <c r="H48" s="20"/>
      <c r="I48" s="141">
        <f>SUM(I43:I47)</f>
        <v>0</v>
      </c>
      <c r="J48" s="146">
        <f>SUM(J43:J47)</f>
        <v>0</v>
      </c>
    </row>
    <row r="49" spans="1:19" x14ac:dyDescent="0.25">
      <c r="A49" s="6"/>
      <c r="B49" s="6"/>
      <c r="C49" s="6"/>
      <c r="D49" s="6"/>
      <c r="E49" s="6"/>
      <c r="F49" s="6"/>
      <c r="G49" s="6"/>
      <c r="H49" s="6"/>
      <c r="I49" s="6"/>
      <c r="J49" s="6"/>
    </row>
    <row r="51" spans="1:19" s="1" customFormat="1" ht="15.75" x14ac:dyDescent="0.25">
      <c r="A51" s="203" t="s">
        <v>52</v>
      </c>
      <c r="B51" s="203"/>
      <c r="C51" s="203"/>
      <c r="D51" s="203"/>
      <c r="E51" s="203"/>
      <c r="F51" s="203"/>
      <c r="G51" s="203"/>
      <c r="H51" s="203"/>
      <c r="I51" s="203"/>
      <c r="J51" s="203"/>
      <c r="K51" s="35"/>
      <c r="L51" s="35"/>
      <c r="M51" s="35"/>
      <c r="N51" s="35"/>
      <c r="O51" s="35"/>
      <c r="P51" s="35"/>
      <c r="Q51" s="35"/>
      <c r="R51" s="35"/>
      <c r="S51" s="35"/>
    </row>
    <row r="52" spans="1:19" s="40" customFormat="1" ht="15.75" thickBot="1" x14ac:dyDescent="0.3">
      <c r="A52" s="98" t="s">
        <v>5</v>
      </c>
      <c r="B52" s="98" t="s">
        <v>77</v>
      </c>
      <c r="C52" s="98" t="s">
        <v>15</v>
      </c>
      <c r="D52" s="208" t="s">
        <v>17</v>
      </c>
      <c r="E52" s="208"/>
      <c r="F52" s="220"/>
      <c r="G52" s="37" t="s">
        <v>75</v>
      </c>
      <c r="H52" s="23" t="s">
        <v>44</v>
      </c>
      <c r="I52" s="38" t="s">
        <v>32</v>
      </c>
      <c r="J52" s="98" t="s">
        <v>33</v>
      </c>
      <c r="K52" s="39"/>
      <c r="L52" s="39"/>
      <c r="M52" s="39"/>
      <c r="N52" s="39"/>
      <c r="O52" s="39"/>
      <c r="P52" s="39"/>
      <c r="Q52" s="39"/>
      <c r="R52" s="39"/>
      <c r="S52" s="39"/>
    </row>
    <row r="53" spans="1:19" ht="16.5" thickBot="1" x14ac:dyDescent="0.3">
      <c r="A53" s="51" t="s">
        <v>14</v>
      </c>
      <c r="B53" s="142" t="s">
        <v>77</v>
      </c>
      <c r="C53" s="47" t="s">
        <v>15</v>
      </c>
      <c r="D53" s="221" t="s">
        <v>17</v>
      </c>
      <c r="E53" s="222"/>
      <c r="F53" s="223"/>
      <c r="G53" s="147" t="s">
        <v>101</v>
      </c>
      <c r="H53" s="150">
        <v>0</v>
      </c>
      <c r="I53" s="151">
        <v>0</v>
      </c>
      <c r="J53" s="153">
        <f>SUM(H53:I53)</f>
        <v>0</v>
      </c>
    </row>
    <row r="54" spans="1:19" ht="16.5" thickBot="1" x14ac:dyDescent="0.3">
      <c r="A54" s="52" t="s">
        <v>14</v>
      </c>
      <c r="B54" s="143"/>
      <c r="C54" s="17"/>
      <c r="D54" s="224"/>
      <c r="E54" s="225"/>
      <c r="F54" s="226"/>
      <c r="G54" s="148"/>
      <c r="H54" s="150">
        <v>0</v>
      </c>
      <c r="I54" s="152">
        <v>0</v>
      </c>
      <c r="J54" s="153">
        <v>0</v>
      </c>
    </row>
    <row r="55" spans="1:19" ht="16.5" thickBot="1" x14ac:dyDescent="0.3">
      <c r="A55" s="52" t="s">
        <v>14</v>
      </c>
      <c r="B55" s="143"/>
      <c r="C55" s="17"/>
      <c r="D55" s="224"/>
      <c r="E55" s="225"/>
      <c r="F55" s="226"/>
      <c r="G55" s="148"/>
      <c r="H55" s="150">
        <v>0</v>
      </c>
      <c r="I55" s="152">
        <v>0</v>
      </c>
      <c r="J55" s="153">
        <v>0</v>
      </c>
    </row>
    <row r="56" spans="1:19" ht="16.5" thickBot="1" x14ac:dyDescent="0.3">
      <c r="A56" s="52" t="s">
        <v>14</v>
      </c>
      <c r="B56" s="143"/>
      <c r="C56" s="17"/>
      <c r="D56" s="224"/>
      <c r="E56" s="225"/>
      <c r="F56" s="226"/>
      <c r="G56" s="148"/>
      <c r="H56" s="150">
        <v>0</v>
      </c>
      <c r="I56" s="152">
        <v>0</v>
      </c>
      <c r="J56" s="153">
        <v>0</v>
      </c>
    </row>
    <row r="57" spans="1:19" ht="16.5" thickBot="1" x14ac:dyDescent="0.3">
      <c r="A57" s="52"/>
      <c r="B57" s="143"/>
      <c r="C57" s="17"/>
      <c r="D57" s="224"/>
      <c r="E57" s="225"/>
      <c r="F57" s="226"/>
      <c r="G57" s="148"/>
      <c r="H57" s="150">
        <v>0</v>
      </c>
      <c r="I57" s="189">
        <v>0</v>
      </c>
      <c r="J57" s="153">
        <v>0</v>
      </c>
    </row>
    <row r="58" spans="1:19" ht="16.5" thickBot="1" x14ac:dyDescent="0.3">
      <c r="A58" s="227" t="s">
        <v>11</v>
      </c>
      <c r="B58" s="228"/>
      <c r="C58" s="228"/>
      <c r="D58" s="228"/>
      <c r="E58" s="228"/>
      <c r="F58" s="229"/>
      <c r="G58" s="24"/>
      <c r="H58" s="149"/>
      <c r="I58" s="160">
        <f>SUM(I53:I57)</f>
        <v>0</v>
      </c>
      <c r="J58" s="155">
        <f>SUM(J53:J57)</f>
        <v>0</v>
      </c>
    </row>
    <row r="61" spans="1:19" s="1" customFormat="1" ht="15.75" x14ac:dyDescent="0.25">
      <c r="A61" s="203" t="s">
        <v>54</v>
      </c>
      <c r="B61" s="203"/>
      <c r="C61" s="203"/>
      <c r="D61" s="203"/>
      <c r="E61" s="203"/>
      <c r="F61" s="203"/>
      <c r="G61" s="203"/>
      <c r="H61" s="203"/>
      <c r="I61" s="203"/>
      <c r="J61" s="203"/>
      <c r="K61" s="35"/>
      <c r="L61" s="35"/>
      <c r="M61" s="35"/>
      <c r="N61" s="35"/>
      <c r="O61" s="35"/>
      <c r="P61" s="35"/>
      <c r="Q61" s="35"/>
      <c r="R61" s="35"/>
      <c r="S61" s="35"/>
    </row>
    <row r="62" spans="1:19" s="40" customFormat="1" ht="15.75" thickBot="1" x14ac:dyDescent="0.3">
      <c r="A62" s="98" t="s">
        <v>46</v>
      </c>
      <c r="B62" s="98" t="s">
        <v>80</v>
      </c>
      <c r="C62" s="98" t="s">
        <v>19</v>
      </c>
      <c r="D62" s="98" t="s">
        <v>20</v>
      </c>
      <c r="E62" s="98" t="s">
        <v>21</v>
      </c>
      <c r="F62" s="98" t="s">
        <v>22</v>
      </c>
      <c r="G62" s="98" t="s">
        <v>23</v>
      </c>
      <c r="H62" s="98" t="s">
        <v>83</v>
      </c>
      <c r="I62" s="98" t="s">
        <v>32</v>
      </c>
      <c r="J62" s="98" t="s">
        <v>87</v>
      </c>
      <c r="K62" s="39"/>
      <c r="L62" s="39"/>
      <c r="M62" s="39"/>
      <c r="N62" s="39"/>
      <c r="O62" s="39"/>
      <c r="P62" s="39"/>
      <c r="Q62" s="39"/>
    </row>
    <row r="63" spans="1:19" x14ac:dyDescent="0.25">
      <c r="A63" s="46" t="s">
        <v>46</v>
      </c>
      <c r="B63" s="119" t="s">
        <v>80</v>
      </c>
      <c r="C63" s="47" t="s">
        <v>102</v>
      </c>
      <c r="D63" s="47" t="s">
        <v>103</v>
      </c>
      <c r="E63" s="53" t="s">
        <v>21</v>
      </c>
      <c r="F63" s="11">
        <v>0</v>
      </c>
      <c r="G63" s="27">
        <v>0</v>
      </c>
      <c r="H63" s="156">
        <v>0</v>
      </c>
      <c r="I63" s="162">
        <v>0</v>
      </c>
      <c r="J63" s="163">
        <f>SUM(F63:I63)</f>
        <v>0</v>
      </c>
    </row>
    <row r="64" spans="1:19" x14ac:dyDescent="0.25">
      <c r="A64" s="49" t="s">
        <v>88</v>
      </c>
      <c r="B64" s="120"/>
      <c r="C64" s="17"/>
      <c r="D64" s="17"/>
      <c r="E64" s="17"/>
      <c r="F64" s="12">
        <v>0</v>
      </c>
      <c r="G64" s="28">
        <v>0</v>
      </c>
      <c r="H64" s="157">
        <v>0</v>
      </c>
      <c r="I64" s="164">
        <v>0</v>
      </c>
      <c r="J64" s="165">
        <f t="shared" ref="J64:J67" si="5">SUM(F64:I64)</f>
        <v>0</v>
      </c>
    </row>
    <row r="65" spans="1:10" x14ac:dyDescent="0.25">
      <c r="A65" s="49" t="s">
        <v>88</v>
      </c>
      <c r="B65" s="120"/>
      <c r="C65" s="17"/>
      <c r="D65" s="17"/>
      <c r="E65" s="17"/>
      <c r="F65" s="12">
        <v>0</v>
      </c>
      <c r="G65" s="28">
        <v>0</v>
      </c>
      <c r="H65" s="157">
        <v>0</v>
      </c>
      <c r="I65" s="164">
        <v>0</v>
      </c>
      <c r="J65" s="165">
        <f t="shared" si="5"/>
        <v>0</v>
      </c>
    </row>
    <row r="66" spans="1:10" x14ac:dyDescent="0.25">
      <c r="A66" s="49" t="s">
        <v>88</v>
      </c>
      <c r="B66" s="120"/>
      <c r="C66" s="17"/>
      <c r="D66" s="17"/>
      <c r="E66" s="17"/>
      <c r="F66" s="12">
        <v>0</v>
      </c>
      <c r="G66" s="28">
        <v>0</v>
      </c>
      <c r="H66" s="157">
        <v>0</v>
      </c>
      <c r="I66" s="164">
        <v>0</v>
      </c>
      <c r="J66" s="165">
        <f t="shared" si="5"/>
        <v>0</v>
      </c>
    </row>
    <row r="67" spans="1:10" x14ac:dyDescent="0.25">
      <c r="A67" s="26" t="s">
        <v>88</v>
      </c>
      <c r="B67" s="26"/>
      <c r="C67" s="26"/>
      <c r="D67" s="26"/>
      <c r="E67" s="26"/>
      <c r="F67" s="25"/>
      <c r="G67" s="29"/>
      <c r="H67" s="158">
        <v>0</v>
      </c>
      <c r="I67" s="166">
        <v>0</v>
      </c>
      <c r="J67" s="167">
        <f t="shared" si="5"/>
        <v>0</v>
      </c>
    </row>
    <row r="68" spans="1:10" s="1" customFormat="1" x14ac:dyDescent="0.25">
      <c r="A68" s="214" t="s">
        <v>8</v>
      </c>
      <c r="B68" s="215"/>
      <c r="C68" s="215"/>
      <c r="D68" s="215"/>
      <c r="E68" s="215"/>
      <c r="F68" s="215"/>
      <c r="G68" s="215"/>
      <c r="H68" s="216"/>
      <c r="I68" s="159">
        <f>SUM(I63:I67)</f>
        <v>0</v>
      </c>
      <c r="J68" s="161">
        <f>SUM(J63:J67)</f>
        <v>0</v>
      </c>
    </row>
    <row r="69" spans="1:10" x14ac:dyDescent="0.25">
      <c r="A69" s="1"/>
      <c r="B69" s="1"/>
      <c r="C69" s="1"/>
      <c r="D69" s="1"/>
      <c r="E69" s="1"/>
      <c r="F69" s="1"/>
    </row>
    <row r="71" spans="1:10" x14ac:dyDescent="0.25">
      <c r="A71" s="64" t="s">
        <v>79</v>
      </c>
      <c r="B71" s="64"/>
    </row>
  </sheetData>
  <mergeCells count="36">
    <mergeCell ref="A14:J14"/>
    <mergeCell ref="A1:C1"/>
    <mergeCell ref="B2:C2"/>
    <mergeCell ref="B3:C3"/>
    <mergeCell ref="B4:C4"/>
    <mergeCell ref="B5:C5"/>
    <mergeCell ref="B7:C7"/>
    <mergeCell ref="B8:C8"/>
    <mergeCell ref="B9:C9"/>
    <mergeCell ref="A12:M12"/>
    <mergeCell ref="A13:J13"/>
    <mergeCell ref="E1:J1"/>
    <mergeCell ref="E2:J2"/>
    <mergeCell ref="E3:J3"/>
    <mergeCell ref="A48:D48"/>
    <mergeCell ref="A27:D27"/>
    <mergeCell ref="A29:J29"/>
    <mergeCell ref="A30:J30"/>
    <mergeCell ref="A37:D37"/>
    <mergeCell ref="A41:J41"/>
    <mergeCell ref="B42:C42"/>
    <mergeCell ref="B43:C43"/>
    <mergeCell ref="B44:C44"/>
    <mergeCell ref="B45:C45"/>
    <mergeCell ref="B46:C46"/>
    <mergeCell ref="B47:C47"/>
    <mergeCell ref="D57:F57"/>
    <mergeCell ref="A58:F58"/>
    <mergeCell ref="A61:J61"/>
    <mergeCell ref="A68:H68"/>
    <mergeCell ref="A51:J51"/>
    <mergeCell ref="D52:F52"/>
    <mergeCell ref="D53:F53"/>
    <mergeCell ref="D54:F54"/>
    <mergeCell ref="D55:F55"/>
    <mergeCell ref="D56:F56"/>
  </mergeCells>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Example</vt:lpstr>
      <vt:lpstr>Product Base Year Pricing</vt:lpstr>
      <vt:lpstr>Option 1</vt:lpstr>
      <vt:lpstr>Option 2</vt:lpstr>
      <vt:lpstr>Option 3</vt:lpstr>
      <vt:lpstr>Option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dc:creator>
  <cp:lastModifiedBy>Michelle Brown</cp:lastModifiedBy>
  <dcterms:created xsi:type="dcterms:W3CDTF">2021-08-01T03:11:20Z</dcterms:created>
  <dcterms:modified xsi:type="dcterms:W3CDTF">2021-12-07T17:19:07Z</dcterms:modified>
</cp:coreProperties>
</file>