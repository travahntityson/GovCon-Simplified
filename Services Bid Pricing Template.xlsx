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35ac9ff4e64a5f/Documents/Fed Biz Exchange/Fedbizexchange Templates/Paid GovCon Resource Tools/"/>
    </mc:Choice>
  </mc:AlternateContent>
  <xr:revisionPtr revIDLastSave="50" documentId="8_{4C7CB1AC-82A8-4A2C-BD49-A2BB7AD6A7EB}" xr6:coauthVersionLast="47" xr6:coauthVersionMax="47" xr10:uidLastSave="{0B2C911A-3FD4-4BE4-B565-8429CCC8F4E7}"/>
  <bookViews>
    <workbookView xWindow="-120" yWindow="-120" windowWidth="20730" windowHeight="11760" xr2:uid="{AA2EEFE6-6D20-4C18-8325-17D77AE496E4}"/>
  </bookViews>
  <sheets>
    <sheet name="Service Contract Base Period" sheetId="1" r:id="rId1"/>
    <sheet name="Option 1" sheetId="2" r:id="rId2"/>
    <sheet name="Option 2" sheetId="3" r:id="rId3"/>
    <sheet name="Option 3" sheetId="4" r:id="rId4"/>
    <sheet name="Option 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7" i="5" l="1"/>
  <c r="H57" i="5"/>
  <c r="G57" i="5"/>
  <c r="F57" i="5"/>
  <c r="I55" i="5"/>
  <c r="L55" i="5" s="1"/>
  <c r="I54" i="5"/>
  <c r="L54" i="5" s="1"/>
  <c r="I53" i="5"/>
  <c r="L53" i="5" s="1"/>
  <c r="I52" i="5"/>
  <c r="L52" i="5" s="1"/>
  <c r="I51" i="5"/>
  <c r="L51" i="5" s="1"/>
  <c r="I50" i="5"/>
  <c r="I57" i="5" s="1"/>
  <c r="K45" i="5"/>
  <c r="L44" i="5"/>
  <c r="I44" i="5"/>
  <c r="L43" i="5"/>
  <c r="I43" i="5"/>
  <c r="L42" i="5"/>
  <c r="I42" i="5"/>
  <c r="L41" i="5"/>
  <c r="I41" i="5"/>
  <c r="L40" i="5"/>
  <c r="L45" i="5" s="1"/>
  <c r="I40" i="5"/>
  <c r="I45" i="5" s="1"/>
  <c r="K35" i="5"/>
  <c r="G35" i="5"/>
  <c r="D35" i="5"/>
  <c r="I34" i="5"/>
  <c r="F34" i="5"/>
  <c r="L34" i="5" s="1"/>
  <c r="I33" i="5"/>
  <c r="F33" i="5"/>
  <c r="L33" i="5" s="1"/>
  <c r="I32" i="5"/>
  <c r="F32" i="5"/>
  <c r="F35" i="5" s="1"/>
  <c r="I31" i="5"/>
  <c r="I35" i="5" s="1"/>
  <c r="F31" i="5"/>
  <c r="L31" i="5" s="1"/>
  <c r="L30" i="5"/>
  <c r="F30" i="5"/>
  <c r="L25" i="5"/>
  <c r="K24" i="5"/>
  <c r="I24" i="5"/>
  <c r="F24" i="5"/>
  <c r="L24" i="5" s="1"/>
  <c r="K23" i="5"/>
  <c r="I23" i="5"/>
  <c r="F23" i="5"/>
  <c r="L23" i="5" s="1"/>
  <c r="K22" i="5"/>
  <c r="I22" i="5"/>
  <c r="F22" i="5"/>
  <c r="L22" i="5" s="1"/>
  <c r="K21" i="5"/>
  <c r="I21" i="5"/>
  <c r="F21" i="5"/>
  <c r="L21" i="5" s="1"/>
  <c r="K20" i="5"/>
  <c r="I20" i="5"/>
  <c r="F20" i="5"/>
  <c r="L20" i="5" s="1"/>
  <c r="K19" i="5"/>
  <c r="I19" i="5"/>
  <c r="F19" i="5"/>
  <c r="L19" i="5" s="1"/>
  <c r="K18" i="5"/>
  <c r="I18" i="5"/>
  <c r="F18" i="5"/>
  <c r="L18" i="5" s="1"/>
  <c r="K17" i="5"/>
  <c r="I17" i="5"/>
  <c r="F17" i="5"/>
  <c r="L17" i="5" s="1"/>
  <c r="K16" i="5"/>
  <c r="I16" i="5"/>
  <c r="F16" i="5"/>
  <c r="L16" i="5" s="1"/>
  <c r="K15" i="5"/>
  <c r="K26" i="5" s="1"/>
  <c r="B8" i="5" s="1"/>
  <c r="I15" i="5"/>
  <c r="F15" i="5"/>
  <c r="L15" i="5" s="1"/>
  <c r="K57" i="4"/>
  <c r="H57" i="4"/>
  <c r="G57" i="4"/>
  <c r="F57" i="4"/>
  <c r="I55" i="4"/>
  <c r="L55" i="4" s="1"/>
  <c r="I54" i="4"/>
  <c r="L54" i="4" s="1"/>
  <c r="I53" i="4"/>
  <c r="L53" i="4" s="1"/>
  <c r="I52" i="4"/>
  <c r="L52" i="4" s="1"/>
  <c r="I51" i="4"/>
  <c r="L51" i="4" s="1"/>
  <c r="I50" i="4"/>
  <c r="I57" i="4" s="1"/>
  <c r="K45" i="4"/>
  <c r="L44" i="4"/>
  <c r="I44" i="4"/>
  <c r="L43" i="4"/>
  <c r="I43" i="4"/>
  <c r="L42" i="4"/>
  <c r="I42" i="4"/>
  <c r="L41" i="4"/>
  <c r="I41" i="4"/>
  <c r="L40" i="4"/>
  <c r="L45" i="4" s="1"/>
  <c r="I40" i="4"/>
  <c r="I45" i="4" s="1"/>
  <c r="K35" i="4"/>
  <c r="G35" i="4"/>
  <c r="D35" i="4"/>
  <c r="I34" i="4"/>
  <c r="F34" i="4"/>
  <c r="L34" i="4" s="1"/>
  <c r="I33" i="4"/>
  <c r="F33" i="4"/>
  <c r="L33" i="4" s="1"/>
  <c r="I32" i="4"/>
  <c r="F32" i="4"/>
  <c r="F35" i="4" s="1"/>
  <c r="I31" i="4"/>
  <c r="I35" i="4" s="1"/>
  <c r="F31" i="4"/>
  <c r="L31" i="4" s="1"/>
  <c r="L30" i="4"/>
  <c r="F30" i="4"/>
  <c r="L25" i="4"/>
  <c r="K24" i="4"/>
  <c r="I24" i="4"/>
  <c r="F24" i="4"/>
  <c r="L24" i="4" s="1"/>
  <c r="K23" i="4"/>
  <c r="I23" i="4"/>
  <c r="F23" i="4"/>
  <c r="L23" i="4" s="1"/>
  <c r="K22" i="4"/>
  <c r="I22" i="4"/>
  <c r="F22" i="4"/>
  <c r="L22" i="4" s="1"/>
  <c r="K21" i="4"/>
  <c r="I21" i="4"/>
  <c r="F21" i="4"/>
  <c r="L21" i="4" s="1"/>
  <c r="K20" i="4"/>
  <c r="I20" i="4"/>
  <c r="F20" i="4"/>
  <c r="L20" i="4" s="1"/>
  <c r="K19" i="4"/>
  <c r="I19" i="4"/>
  <c r="F19" i="4"/>
  <c r="L19" i="4" s="1"/>
  <c r="K18" i="4"/>
  <c r="I18" i="4"/>
  <c r="F18" i="4"/>
  <c r="L18" i="4" s="1"/>
  <c r="K17" i="4"/>
  <c r="I17" i="4"/>
  <c r="F17" i="4"/>
  <c r="L17" i="4" s="1"/>
  <c r="K16" i="4"/>
  <c r="I16" i="4"/>
  <c r="F16" i="4"/>
  <c r="L16" i="4" s="1"/>
  <c r="K15" i="4"/>
  <c r="K26" i="4" s="1"/>
  <c r="B8" i="4" s="1"/>
  <c r="I15" i="4"/>
  <c r="F15" i="4"/>
  <c r="L15" i="4" s="1"/>
  <c r="K57" i="3"/>
  <c r="H57" i="3"/>
  <c r="G57" i="3"/>
  <c r="F57" i="3"/>
  <c r="I55" i="3"/>
  <c r="L55" i="3" s="1"/>
  <c r="I54" i="3"/>
  <c r="L54" i="3" s="1"/>
  <c r="I53" i="3"/>
  <c r="L53" i="3" s="1"/>
  <c r="I52" i="3"/>
  <c r="L52" i="3" s="1"/>
  <c r="I51" i="3"/>
  <c r="L51" i="3" s="1"/>
  <c r="I50" i="3"/>
  <c r="I57" i="3" s="1"/>
  <c r="K45" i="3"/>
  <c r="L44" i="3"/>
  <c r="I44" i="3"/>
  <c r="L43" i="3"/>
  <c r="I43" i="3"/>
  <c r="L42" i="3"/>
  <c r="I42" i="3"/>
  <c r="L41" i="3"/>
  <c r="I41" i="3"/>
  <c r="L40" i="3"/>
  <c r="L45" i="3" s="1"/>
  <c r="I40" i="3"/>
  <c r="I45" i="3" s="1"/>
  <c r="K35" i="3"/>
  <c r="G35" i="3"/>
  <c r="D35" i="3"/>
  <c r="I34" i="3"/>
  <c r="F34" i="3"/>
  <c r="L34" i="3" s="1"/>
  <c r="I33" i="3"/>
  <c r="F33" i="3"/>
  <c r="L33" i="3" s="1"/>
  <c r="I32" i="3"/>
  <c r="F32" i="3"/>
  <c r="F35" i="3" s="1"/>
  <c r="I31" i="3"/>
  <c r="I35" i="3" s="1"/>
  <c r="F31" i="3"/>
  <c r="L31" i="3" s="1"/>
  <c r="L30" i="3"/>
  <c r="F30" i="3"/>
  <c r="L25" i="3"/>
  <c r="K24" i="3"/>
  <c r="I24" i="3"/>
  <c r="F24" i="3"/>
  <c r="L24" i="3" s="1"/>
  <c r="K23" i="3"/>
  <c r="I23" i="3"/>
  <c r="F23" i="3"/>
  <c r="L23" i="3" s="1"/>
  <c r="K22" i="3"/>
  <c r="I22" i="3"/>
  <c r="F22" i="3"/>
  <c r="L22" i="3" s="1"/>
  <c r="K21" i="3"/>
  <c r="I21" i="3"/>
  <c r="F21" i="3"/>
  <c r="L21" i="3" s="1"/>
  <c r="K20" i="3"/>
  <c r="I20" i="3"/>
  <c r="F20" i="3"/>
  <c r="L20" i="3" s="1"/>
  <c r="K19" i="3"/>
  <c r="I19" i="3"/>
  <c r="F19" i="3"/>
  <c r="L19" i="3" s="1"/>
  <c r="K18" i="3"/>
  <c r="I18" i="3"/>
  <c r="F18" i="3"/>
  <c r="L18" i="3" s="1"/>
  <c r="K17" i="3"/>
  <c r="I17" i="3"/>
  <c r="F17" i="3"/>
  <c r="L17" i="3" s="1"/>
  <c r="K16" i="3"/>
  <c r="I16" i="3"/>
  <c r="F16" i="3"/>
  <c r="L16" i="3" s="1"/>
  <c r="K15" i="3"/>
  <c r="K26" i="3" s="1"/>
  <c r="B8" i="3" s="1"/>
  <c r="I15" i="3"/>
  <c r="F15" i="3"/>
  <c r="L15" i="3" s="1"/>
  <c r="L26" i="3" s="1"/>
  <c r="K57" i="2"/>
  <c r="H57" i="2"/>
  <c r="G57" i="2"/>
  <c r="F57" i="2"/>
  <c r="I55" i="2"/>
  <c r="L55" i="2" s="1"/>
  <c r="I54" i="2"/>
  <c r="L54" i="2" s="1"/>
  <c r="I53" i="2"/>
  <c r="L53" i="2" s="1"/>
  <c r="I52" i="2"/>
  <c r="L52" i="2" s="1"/>
  <c r="I51" i="2"/>
  <c r="L51" i="2" s="1"/>
  <c r="I50" i="2"/>
  <c r="I57" i="2" s="1"/>
  <c r="K45" i="2"/>
  <c r="L44" i="2"/>
  <c r="I44" i="2"/>
  <c r="L43" i="2"/>
  <c r="I43" i="2"/>
  <c r="L42" i="2"/>
  <c r="I42" i="2"/>
  <c r="L41" i="2"/>
  <c r="I41" i="2"/>
  <c r="L40" i="2"/>
  <c r="L45" i="2" s="1"/>
  <c r="I40" i="2"/>
  <c r="I45" i="2" s="1"/>
  <c r="K35" i="2"/>
  <c r="G35" i="2"/>
  <c r="D35" i="2"/>
  <c r="I34" i="2"/>
  <c r="F34" i="2"/>
  <c r="L34" i="2" s="1"/>
  <c r="I33" i="2"/>
  <c r="F33" i="2"/>
  <c r="L33" i="2" s="1"/>
  <c r="I32" i="2"/>
  <c r="F32" i="2"/>
  <c r="F35" i="2" s="1"/>
  <c r="I31" i="2"/>
  <c r="I35" i="2" s="1"/>
  <c r="F31" i="2"/>
  <c r="L31" i="2" s="1"/>
  <c r="L30" i="2"/>
  <c r="F30" i="2"/>
  <c r="L25" i="2"/>
  <c r="K24" i="2"/>
  <c r="I24" i="2"/>
  <c r="F24" i="2"/>
  <c r="L24" i="2" s="1"/>
  <c r="K23" i="2"/>
  <c r="I23" i="2"/>
  <c r="F23" i="2"/>
  <c r="L23" i="2" s="1"/>
  <c r="K22" i="2"/>
  <c r="I22" i="2"/>
  <c r="F22" i="2"/>
  <c r="L22" i="2" s="1"/>
  <c r="K21" i="2"/>
  <c r="I21" i="2"/>
  <c r="F21" i="2"/>
  <c r="L21" i="2" s="1"/>
  <c r="K20" i="2"/>
  <c r="I20" i="2"/>
  <c r="F20" i="2"/>
  <c r="L20" i="2" s="1"/>
  <c r="K19" i="2"/>
  <c r="I19" i="2"/>
  <c r="F19" i="2"/>
  <c r="L19" i="2" s="1"/>
  <c r="K18" i="2"/>
  <c r="I18" i="2"/>
  <c r="F18" i="2"/>
  <c r="L18" i="2" s="1"/>
  <c r="K17" i="2"/>
  <c r="I17" i="2"/>
  <c r="F17" i="2"/>
  <c r="L17" i="2" s="1"/>
  <c r="K16" i="2"/>
  <c r="I16" i="2"/>
  <c r="F16" i="2"/>
  <c r="L16" i="2" s="1"/>
  <c r="K15" i="2"/>
  <c r="K26" i="2" s="1"/>
  <c r="B8" i="2" s="1"/>
  <c r="I15" i="2"/>
  <c r="F15" i="2"/>
  <c r="L15" i="2" s="1"/>
  <c r="K58" i="1"/>
  <c r="K46" i="1"/>
  <c r="K36" i="1"/>
  <c r="H58" i="1"/>
  <c r="G58" i="1"/>
  <c r="F58" i="1"/>
  <c r="I41" i="1"/>
  <c r="L41" i="1" s="1"/>
  <c r="L26" i="5" l="1"/>
  <c r="L35" i="5"/>
  <c r="L32" i="5"/>
  <c r="L50" i="5"/>
  <c r="L57" i="5" s="1"/>
  <c r="L26" i="4"/>
  <c r="L35" i="4"/>
  <c r="L32" i="4"/>
  <c r="L50" i="4"/>
  <c r="L57" i="4" s="1"/>
  <c r="L35" i="3"/>
  <c r="B7" i="3" s="1"/>
  <c r="L32" i="3"/>
  <c r="L50" i="3"/>
  <c r="L57" i="3" s="1"/>
  <c r="L26" i="2"/>
  <c r="L35" i="2"/>
  <c r="L32" i="2"/>
  <c r="L50" i="2"/>
  <c r="L57" i="2" s="1"/>
  <c r="K16" i="1"/>
  <c r="I17" i="1"/>
  <c r="I18" i="1"/>
  <c r="I19" i="1"/>
  <c r="I20" i="1"/>
  <c r="I21" i="1"/>
  <c r="I22" i="1"/>
  <c r="I23" i="1"/>
  <c r="I24" i="1"/>
  <c r="K22" i="1"/>
  <c r="K23" i="1"/>
  <c r="K24" i="1"/>
  <c r="K25" i="1"/>
  <c r="F24" i="1"/>
  <c r="F23" i="1"/>
  <c r="L23" i="1" s="1"/>
  <c r="F22" i="1"/>
  <c r="L22" i="1" s="1"/>
  <c r="F32" i="1"/>
  <c r="F33" i="1"/>
  <c r="F34" i="1"/>
  <c r="F35" i="1"/>
  <c r="I32" i="1"/>
  <c r="I33" i="1"/>
  <c r="I34" i="1"/>
  <c r="I35" i="1"/>
  <c r="I42" i="1"/>
  <c r="I43" i="1"/>
  <c r="I44" i="1"/>
  <c r="I45" i="1"/>
  <c r="L42" i="1"/>
  <c r="L43" i="1"/>
  <c r="L44" i="1"/>
  <c r="L45" i="1"/>
  <c r="I52" i="1"/>
  <c r="L52" i="1" s="1"/>
  <c r="I53" i="1"/>
  <c r="L53" i="1" s="1"/>
  <c r="I54" i="1"/>
  <c r="L54" i="1" s="1"/>
  <c r="I55" i="1"/>
  <c r="L55" i="1" s="1"/>
  <c r="I56" i="1"/>
  <c r="L56" i="1" s="1"/>
  <c r="L26" i="1"/>
  <c r="K17" i="1"/>
  <c r="K18" i="1"/>
  <c r="K19" i="1"/>
  <c r="K20" i="1"/>
  <c r="K21" i="1"/>
  <c r="I51" i="1"/>
  <c r="G36" i="1"/>
  <c r="D36" i="1"/>
  <c r="F31" i="1"/>
  <c r="I16" i="1"/>
  <c r="F20" i="1"/>
  <c r="F21" i="1"/>
  <c r="F25" i="1"/>
  <c r="F17" i="1"/>
  <c r="F18" i="1"/>
  <c r="F19" i="1"/>
  <c r="F16" i="1"/>
  <c r="L24" i="1" l="1"/>
  <c r="L51" i="1"/>
  <c r="L58" i="1" s="1"/>
  <c r="I58" i="1"/>
  <c r="B7" i="5"/>
  <c r="B7" i="4"/>
  <c r="B7" i="2"/>
  <c r="K27" i="1"/>
  <c r="B8" i="1" s="1"/>
  <c r="L35" i="1"/>
  <c r="L33" i="1"/>
  <c r="L34" i="1"/>
  <c r="L32" i="1"/>
  <c r="L18" i="1"/>
  <c r="F36" i="1"/>
  <c r="I36" i="1"/>
  <c r="L46" i="1"/>
  <c r="I46" i="1"/>
  <c r="L31" i="1"/>
  <c r="L19" i="1"/>
  <c r="L25" i="1"/>
  <c r="L20" i="1"/>
  <c r="L16" i="1"/>
  <c r="L21" i="1"/>
  <c r="L17" i="1"/>
  <c r="L27" i="1" l="1"/>
  <c r="L36" i="1"/>
  <c r="B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tc={579B02AA-0771-4667-9C88-564224F3A8E9}</author>
    <author>tc={B9D22477-BFDE-4112-92AA-44A6D4E293E1}</author>
    <author>tc={42EFC572-C8C4-4BD8-9D0C-55217E49E78B}</author>
  </authors>
  <commentList>
    <comment ref="B7" authorId="0" shapeId="0" xr:uid="{579B02AA-0771-4667-9C88-564224F3A8E9}">
      <text>
        <t>[Threaded comment]
Your version of Excel allows you to read this threaded comment; however, any edits to it will get removed if the file is opened in a newer version of Excel. Learn more: https://go.microsoft.com/fwlink/?linkid=870924
Comment:
    WARNING: Do not touch -These two rows calculated automatically.</t>
      </text>
    </comment>
    <comment ref="B8" authorId="1" shapeId="0" xr:uid="{B9D22477-BFDE-4112-92AA-44A6D4E293E1}">
      <text>
        <t>[Threaded comment]
Your version of Excel allows you to read this threaded comment; however, any edits to it will get removed if the file is opened in a newer version of Excel. Learn more: https://go.microsoft.com/fwlink/?linkid=870924
Comment:
    WARNING: Do not touch - these two areas calculate automatically.</t>
      </text>
    </comment>
    <comment ref="J15" authorId="2" shapeId="0" xr:uid="{42EFC572-C8C4-4BD8-9D0C-55217E49E78B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Markup is based on Regular Hours NOT overtime to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tc={8C922DAA-E5EA-44F7-9737-96E97FC5F809}</author>
    <author>tc={1B8A524F-DAA7-4B32-BFCC-324B2E48B65C}</author>
    <author>tc={8E250425-F902-426B-9084-562D9F1B0D17}</author>
  </authors>
  <commentList>
    <comment ref="B7" authorId="0" shapeId="0" xr:uid="{8C922DAA-E5EA-44F7-9737-96E97FC5F809}">
      <text>
        <t>[Threaded comment]
Your version of Excel allows you to read this threaded comment; however, any edits to it will get removed if the file is opened in a newer version of Excel. Learn more: https://go.microsoft.com/fwlink/?linkid=870924
Comment:
    WARNING: Do not touch -These two rows calculated automatically.</t>
      </text>
    </comment>
    <comment ref="B8" authorId="1" shapeId="0" xr:uid="{1B8A524F-DAA7-4B32-BFCC-324B2E48B65C}">
      <text>
        <t>[Threaded comment]
Your version of Excel allows you to read this threaded comment; however, any edits to it will get removed if the file is opened in a newer version of Excel. Learn more: https://go.microsoft.com/fwlink/?linkid=870924
Comment:
    WARNING: Do not touch - these two areas calculate automatically.</t>
      </text>
    </comment>
    <comment ref="J14" authorId="2" shapeId="0" xr:uid="{8E250425-F902-426B-9084-562D9F1B0D17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Markup is based on Regular Hours NOT overtime to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tc={D04B3656-F4EC-430D-BD5B-D9AA61552ABC}</author>
    <author>tc={7943A776-B9E8-4185-AF8A-1D68E88544FC}</author>
    <author>tc={C29C0A41-8826-40AB-BA19-7448C21BC380}</author>
  </authors>
  <commentList>
    <comment ref="B7" authorId="0" shapeId="0" xr:uid="{D04B3656-F4EC-430D-BD5B-D9AA61552ABC}">
      <text>
        <t>[Threaded comment]
Your version of Excel allows you to read this threaded comment; however, any edits to it will get removed if the file is opened in a newer version of Excel. Learn more: https://go.microsoft.com/fwlink/?linkid=870924
Comment:
    WARNING: Do not touch -These two rows calculated automatically.</t>
      </text>
    </comment>
    <comment ref="B8" authorId="1" shapeId="0" xr:uid="{7943A776-B9E8-4185-AF8A-1D68E88544FC}">
      <text>
        <t>[Threaded comment]
Your version of Excel allows you to read this threaded comment; however, any edits to it will get removed if the file is opened in a newer version of Excel. Learn more: https://go.microsoft.com/fwlink/?linkid=870924
Comment:
    WARNING: Do not touch - these two areas calculate automatically.</t>
      </text>
    </comment>
    <comment ref="J14" authorId="2" shapeId="0" xr:uid="{C29C0A41-8826-40AB-BA19-7448C21BC380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Markup is based on Regular Hours NOT overtime to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tc={0061922E-DC70-45E0-B846-49B0D7344E77}</author>
    <author>tc={70D27D18-52D4-4936-BB35-6CBD5A5AB2B2}</author>
    <author>tc={9F2A79E7-E846-4EAD-B980-BF18CFC4906B}</author>
  </authors>
  <commentList>
    <comment ref="B7" authorId="0" shapeId="0" xr:uid="{0061922E-DC70-45E0-B846-49B0D7344E77}">
      <text>
        <t>[Threaded comment]
Your version of Excel allows you to read this threaded comment; however, any edits to it will get removed if the file is opened in a newer version of Excel. Learn more: https://go.microsoft.com/fwlink/?linkid=870924
Comment:
    WARNING: Do not touch -These two rows calculated automatically.</t>
      </text>
    </comment>
    <comment ref="B8" authorId="1" shapeId="0" xr:uid="{70D27D18-52D4-4936-BB35-6CBD5A5AB2B2}">
      <text>
        <t>[Threaded comment]
Your version of Excel allows you to read this threaded comment; however, any edits to it will get removed if the file is opened in a newer version of Excel. Learn more: https://go.microsoft.com/fwlink/?linkid=870924
Comment:
    WARNING: Do not touch - these two areas calculate automatically.</t>
      </text>
    </comment>
    <comment ref="J14" authorId="2" shapeId="0" xr:uid="{9F2A79E7-E846-4EAD-B980-BF18CFC4906B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Markup is based on Regular Hours NOT overtime to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tc={CBA5F182-D1FA-4C8C-B898-B9A791194990}</author>
    <author>tc={76D67CE8-C74A-4783-A2B3-69EE88D3A5CD}</author>
    <author>tc={8E511047-0E89-4F91-9D9E-1ABD5823F8D2}</author>
  </authors>
  <commentList>
    <comment ref="B7" authorId="0" shapeId="0" xr:uid="{CBA5F182-D1FA-4C8C-B898-B9A791194990}">
      <text>
        <t>[Threaded comment]
Your version of Excel allows you to read this threaded comment; however, any edits to it will get removed if the file is opened in a newer version of Excel. Learn more: https://go.microsoft.com/fwlink/?linkid=870924
Comment:
    WARNING: Do not touch -These two rows calculated automatically.</t>
      </text>
    </comment>
    <comment ref="B8" authorId="1" shapeId="0" xr:uid="{76D67CE8-C74A-4783-A2B3-69EE88D3A5CD}">
      <text>
        <t>[Threaded comment]
Your version of Excel allows you to read this threaded comment; however, any edits to it will get removed if the file is opened in a newer version of Excel. Learn more: https://go.microsoft.com/fwlink/?linkid=870924
Comment:
    WARNING: Do not touch - these two areas calculate automatically.</t>
      </text>
    </comment>
    <comment ref="J14" authorId="2" shapeId="0" xr:uid="{8E511047-0E89-4F91-9D9E-1ABD5823F8D2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Markup is based on Regular Hours NOT overtime to</t>
      </text>
    </comment>
  </commentList>
</comments>
</file>

<file path=xl/sharedStrings.xml><?xml version="1.0" encoding="utf-8"?>
<sst xmlns="http://schemas.openxmlformats.org/spreadsheetml/2006/main" count="538" uniqueCount="94">
  <si>
    <t>Solicitation #:</t>
  </si>
  <si>
    <t>Proposal Name:</t>
  </si>
  <si>
    <t>Company Name:</t>
  </si>
  <si>
    <t>Agency Name:</t>
  </si>
  <si>
    <t>Estimated Contract Profit:</t>
  </si>
  <si>
    <t>Role</t>
  </si>
  <si>
    <t>SUBCONTRACT LABOR</t>
  </si>
  <si>
    <t xml:space="preserve">Company </t>
  </si>
  <si>
    <t>DIRECT COSTS</t>
  </si>
  <si>
    <t>TRAVEL</t>
  </si>
  <si>
    <t>CONTRACT STAFFING &amp; LABOR</t>
  </si>
  <si>
    <t>Employee</t>
  </si>
  <si>
    <t>Contractor</t>
  </si>
  <si>
    <t>Title</t>
  </si>
  <si>
    <t>Employee Title</t>
  </si>
  <si>
    <t>Contractor Title</t>
  </si>
  <si>
    <t>Work Site</t>
  </si>
  <si>
    <t>Regular Hours</t>
  </si>
  <si>
    <t>Submit Due Date:</t>
  </si>
  <si>
    <t>TOTAL</t>
  </si>
  <si>
    <t>Total</t>
  </si>
  <si>
    <t>Rate</t>
  </si>
  <si>
    <t>OT Rate</t>
  </si>
  <si>
    <t>OT Hours</t>
  </si>
  <si>
    <t xml:space="preserve">Subcontract Company </t>
  </si>
  <si>
    <t xml:space="preserve">TOTAL </t>
  </si>
  <si>
    <t>Job Peformance Description</t>
  </si>
  <si>
    <t>Insurance Company</t>
  </si>
  <si>
    <t>Sample Company Used</t>
  </si>
  <si>
    <t>Service Title</t>
  </si>
  <si>
    <t>Insurance Policy</t>
  </si>
  <si>
    <t>Service Description</t>
  </si>
  <si>
    <t>Unit Price</t>
  </si>
  <si>
    <t>Regular Total</t>
  </si>
  <si>
    <t>OT Total</t>
  </si>
  <si>
    <t>Other Total</t>
  </si>
  <si>
    <t># of Payments</t>
  </si>
  <si>
    <t>Required</t>
  </si>
  <si>
    <t>Yes</t>
  </si>
  <si>
    <t>Description</t>
  </si>
  <si>
    <t>Travel</t>
  </si>
  <si>
    <t>Site Visit</t>
  </si>
  <si>
    <t>From City</t>
  </si>
  <si>
    <t>To City</t>
  </si>
  <si>
    <t>Travel Date</t>
  </si>
  <si>
    <t>Airfare</t>
  </si>
  <si>
    <t>Lodging</t>
  </si>
  <si>
    <t>Meals</t>
  </si>
  <si>
    <t>Return Date</t>
  </si>
  <si>
    <t>Chicago</t>
  </si>
  <si>
    <t>Miami</t>
  </si>
  <si>
    <t>Total Contract Price:</t>
  </si>
  <si>
    <t>Contract Base Period</t>
  </si>
  <si>
    <t>Total Staff &amp; Labor</t>
  </si>
  <si>
    <t>Place Company Name Here</t>
  </si>
  <si>
    <t>Place Proposal Name Here</t>
  </si>
  <si>
    <t>Place Agency Name Here</t>
  </si>
  <si>
    <t>Place Solicitation Name Here</t>
  </si>
  <si>
    <t>Place Submit Due Date Here</t>
  </si>
  <si>
    <t>Contract Bid Pricing Summary</t>
  </si>
  <si>
    <t>Markup Total</t>
  </si>
  <si>
    <t>Company Markup</t>
  </si>
  <si>
    <t>Material Description</t>
  </si>
  <si>
    <t>Total Sub Labor</t>
  </si>
  <si>
    <t>Add'l Services</t>
  </si>
  <si>
    <t>Total Direct Cost</t>
  </si>
  <si>
    <t>Other Travel</t>
  </si>
  <si>
    <t>Total Travel Cost</t>
  </si>
  <si>
    <t>Service Total</t>
  </si>
  <si>
    <t>Markup Cost</t>
  </si>
  <si>
    <t>Option Year 1</t>
  </si>
  <si>
    <t xml:space="preserve"> </t>
  </si>
  <si>
    <r>
      <t xml:space="preserve">Instructions:  </t>
    </r>
    <r>
      <rPr>
        <i/>
        <sz val="11"/>
        <color theme="1"/>
        <rFont val="Calibri"/>
        <family val="2"/>
        <scheme val="minor"/>
      </rPr>
      <t>Complete all cells outlined in RED where applicable; Roles, Titles, Work Sites, Hours and Company Markups .  Green cells with (Totals) are protected and will calculate automatically. Markup Totals are profit.</t>
    </r>
  </si>
  <si>
    <t>Govt site</t>
  </si>
  <si>
    <t>Contract Administor</t>
  </si>
  <si>
    <t>Drug &amp; Alcohol</t>
  </si>
  <si>
    <t>Billable Total</t>
  </si>
  <si>
    <t>After Hours</t>
  </si>
  <si>
    <t>Per Employee</t>
  </si>
  <si>
    <t>AH  Rate</t>
  </si>
  <si>
    <t>Subcontractor</t>
  </si>
  <si>
    <t>Location</t>
  </si>
  <si>
    <t>Copyright (c) Fed Biz Exchange 2021</t>
  </si>
  <si>
    <t>Option Year 2</t>
  </si>
  <si>
    <t>Option Year 3</t>
  </si>
  <si>
    <t>Option Year 4</t>
  </si>
  <si>
    <t>Chicago, IL</t>
  </si>
  <si>
    <t>Testing Screening</t>
  </si>
  <si>
    <t>Additional Liability Insurance</t>
  </si>
  <si>
    <t>Company Employee</t>
  </si>
  <si>
    <t>Y/N</t>
  </si>
  <si>
    <t>SERVICE BID PRICING TEMPLATE</t>
  </si>
  <si>
    <t>Calculate your "Bid Pricing" to Win the Contract &amp; Make a "Profit"</t>
  </si>
  <si>
    <t>*Save a copy of this Bid Pricing Template to use with every bid offer*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</si>
</sst>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8" formatCode="&quot;$&quot;#,##0.00_);[Red]\(&quot;$&quot;#,##0.00\)"/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thin">
        <color indexed="64"/>
      </top>
      <bottom style="medium">
        <color rgb="FFC00000"/>
      </bottom>
      <diagonal/>
    </border>
    <border>
      <left/>
      <right/>
      <top style="medium">
        <color rgb="FFC00000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C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thin">
        <color theme="1"/>
      </bottom>
      <diagonal/>
    </border>
    <border>
      <left style="medium">
        <color rgb="FFC00000"/>
      </left>
      <right style="medium">
        <color rgb="FFC00000"/>
      </right>
      <top style="thin">
        <color theme="1"/>
      </top>
      <bottom style="thin">
        <color theme="1"/>
      </bottom>
      <diagonal/>
    </border>
    <border>
      <left style="medium">
        <color rgb="FFC00000"/>
      </left>
      <right style="medium">
        <color rgb="FFC00000"/>
      </right>
      <top style="thin">
        <color theme="1"/>
      </top>
      <bottom style="medium">
        <color rgb="FFC00000"/>
      </bottom>
      <diagonal/>
    </border>
    <border>
      <left style="medium">
        <color theme="9" tint="-0.499984740745262"/>
      </left>
      <right style="medium">
        <color theme="9" tint="-0.499984740745262"/>
      </right>
      <top style="thin">
        <color theme="1"/>
      </top>
      <bottom style="medium">
        <color theme="9" tint="-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theme="9" tint="-0.24994659260841701"/>
      </left>
      <right/>
      <top/>
      <bottom style="medium">
        <color theme="9" tint="-0.24994659260841701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 style="thin">
        <color theme="1"/>
      </bottom>
      <diagonal/>
    </border>
    <border>
      <left style="medium">
        <color theme="9" tint="-0.499984740745262"/>
      </left>
      <right/>
      <top style="thin">
        <color theme="1"/>
      </top>
      <bottom style="thin">
        <color theme="1"/>
      </bottom>
      <diagonal/>
    </border>
    <border>
      <left style="medium">
        <color rgb="FFC00000"/>
      </left>
      <right style="thin">
        <color auto="1"/>
      </right>
      <top style="medium">
        <color rgb="FFC00000"/>
      </top>
      <bottom style="thin">
        <color auto="1"/>
      </bottom>
      <diagonal/>
    </border>
    <border>
      <left style="thin">
        <color auto="1"/>
      </left>
      <right style="medium">
        <color rgb="FFC00000"/>
      </right>
      <top style="medium">
        <color rgb="FFC00000"/>
      </top>
      <bottom style="thin">
        <color auto="1"/>
      </bottom>
      <diagonal/>
    </border>
    <border>
      <left style="medium">
        <color rgb="FFC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C00000"/>
      </right>
      <top style="thin">
        <color auto="1"/>
      </top>
      <bottom style="thin">
        <color auto="1"/>
      </bottom>
      <diagonal/>
    </border>
    <border>
      <left style="medium">
        <color rgb="FFC00000"/>
      </left>
      <right style="thin">
        <color auto="1"/>
      </right>
      <top style="thin">
        <color auto="1"/>
      </top>
      <bottom style="medium">
        <color rgb="FFC00000"/>
      </bottom>
      <diagonal/>
    </border>
    <border>
      <left style="thin">
        <color auto="1"/>
      </left>
      <right style="medium">
        <color rgb="FFC00000"/>
      </right>
      <top style="thin">
        <color auto="1"/>
      </top>
      <bottom style="medium">
        <color rgb="FFC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thin">
        <color theme="1"/>
      </bottom>
      <diagonal/>
    </border>
    <border>
      <left/>
      <right style="medium">
        <color theme="9" tint="-0.499984740745262"/>
      </right>
      <top style="thin">
        <color theme="1"/>
      </top>
      <bottom style="thin">
        <color theme="1"/>
      </bottom>
      <diagonal/>
    </border>
    <border>
      <left/>
      <right style="medium">
        <color theme="9" tint="-0.499984740745262"/>
      </right>
      <top style="thin">
        <color theme="1"/>
      </top>
      <bottom style="medium">
        <color theme="9" tint="-0.499984740745262"/>
      </bottom>
      <diagonal/>
    </border>
    <border>
      <left style="medium">
        <color rgb="FFC00000"/>
      </left>
      <right/>
      <top style="medium">
        <color rgb="FFC00000"/>
      </top>
      <bottom style="thin">
        <color theme="1"/>
      </bottom>
      <diagonal/>
    </border>
    <border>
      <left/>
      <right style="medium">
        <color rgb="FFC00000"/>
      </right>
      <top style="medium">
        <color rgb="FFC00000"/>
      </top>
      <bottom style="thin">
        <color theme="1"/>
      </bottom>
      <diagonal/>
    </border>
    <border>
      <left style="thin">
        <color theme="1"/>
      </left>
      <right style="thin">
        <color rgb="FFC00000"/>
      </right>
      <top style="thin">
        <color theme="1"/>
      </top>
      <bottom style="thin">
        <color theme="1"/>
      </bottom>
      <diagonal/>
    </border>
    <border>
      <left style="thin">
        <color rgb="FFC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C00000"/>
      </right>
      <top style="thin">
        <color theme="1"/>
      </top>
      <bottom style="thin">
        <color theme="1"/>
      </bottom>
      <diagonal/>
    </border>
    <border>
      <left style="medium">
        <color rgb="FFC00000"/>
      </left>
      <right/>
      <top style="thin">
        <color theme="1"/>
      </top>
      <bottom style="thin">
        <color theme="1"/>
      </bottom>
      <diagonal/>
    </border>
    <border>
      <left style="medium">
        <color rgb="FFC00000"/>
      </left>
      <right/>
      <top style="thin">
        <color theme="1"/>
      </top>
      <bottom style="medium">
        <color rgb="FFC00000"/>
      </bottom>
      <diagonal/>
    </border>
    <border>
      <left/>
      <right style="medium">
        <color rgb="FFC00000"/>
      </right>
      <top style="thin">
        <color theme="1"/>
      </top>
      <bottom style="medium">
        <color rgb="FFC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medium">
        <color rgb="FFC0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rgb="FFC00000"/>
      </right>
      <top/>
      <bottom style="thin">
        <color theme="1"/>
      </bottom>
      <diagonal/>
    </border>
    <border>
      <left style="thin">
        <color rgb="FFC00000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rgb="FFC00000"/>
      </right>
      <top style="thin">
        <color theme="1"/>
      </top>
      <bottom/>
      <diagonal/>
    </border>
    <border>
      <left style="thin">
        <color rgb="FFC00000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rgb="FFC00000"/>
      </right>
      <top/>
      <bottom/>
      <diagonal/>
    </border>
    <border>
      <left style="thin">
        <color rgb="FFC00000"/>
      </left>
      <right style="thin">
        <color theme="1"/>
      </right>
      <top/>
      <bottom/>
      <diagonal/>
    </border>
    <border>
      <left/>
      <right/>
      <top style="medium">
        <color theme="9" tint="-0.499984740745262"/>
      </top>
      <bottom style="thin">
        <color theme="1"/>
      </bottom>
      <diagonal/>
    </border>
    <border>
      <left/>
      <right/>
      <top style="thin">
        <color theme="1"/>
      </top>
      <bottom style="medium">
        <color theme="9" tint="-0.499984740745262"/>
      </bottom>
      <diagonal/>
    </border>
    <border>
      <left style="thin">
        <color indexed="64"/>
      </left>
      <right style="thin">
        <color indexed="64"/>
      </right>
      <top style="medium">
        <color rgb="FFC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medium">
        <color rgb="FFC00000"/>
      </left>
      <right style="thin">
        <color theme="1"/>
      </right>
      <top style="medium">
        <color rgb="FFC0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rgb="FFC00000"/>
      </top>
      <bottom style="thin">
        <color theme="1"/>
      </bottom>
      <diagonal/>
    </border>
    <border>
      <left style="thin">
        <color theme="1"/>
      </left>
      <right style="medium">
        <color rgb="FFC00000"/>
      </right>
      <top style="medium">
        <color rgb="FFC00000"/>
      </top>
      <bottom style="thin">
        <color theme="1"/>
      </bottom>
      <diagonal/>
    </border>
    <border>
      <left style="medium">
        <color rgb="FFC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C00000"/>
      </right>
      <top style="thin">
        <color theme="1"/>
      </top>
      <bottom style="thin">
        <color theme="1"/>
      </bottom>
      <diagonal/>
    </border>
    <border>
      <left style="medium">
        <color rgb="FFC00000"/>
      </left>
      <right style="thin">
        <color theme="1"/>
      </right>
      <top style="thin">
        <color theme="1"/>
      </top>
      <bottom style="medium">
        <color rgb="FFC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C00000"/>
      </bottom>
      <diagonal/>
    </border>
    <border>
      <left style="thin">
        <color theme="1"/>
      </left>
      <right style="medium">
        <color rgb="FFC00000"/>
      </right>
      <top style="thin">
        <color theme="1"/>
      </top>
      <bottom style="medium">
        <color rgb="FFC00000"/>
      </bottom>
      <diagonal/>
    </border>
    <border>
      <left/>
      <right/>
      <top style="thin">
        <color theme="1"/>
      </top>
      <bottom style="medium">
        <color rgb="FFC00000"/>
      </bottom>
      <diagonal/>
    </border>
    <border>
      <left/>
      <right/>
      <top style="medium">
        <color rgb="FFC00000"/>
      </top>
      <bottom style="thin">
        <color theme="1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thin">
        <color indexed="64"/>
      </top>
      <bottom/>
      <diagonal/>
    </border>
    <border>
      <left style="medium">
        <color theme="9" tint="-0.499984740745262"/>
      </left>
      <right/>
      <top style="medium">
        <color theme="9" tint="-0.499984740745262"/>
      </top>
      <bottom style="thin">
        <color indexed="64"/>
      </bottom>
      <diagonal/>
    </border>
    <border>
      <left style="medium">
        <color theme="9" tint="-0.499984740745262"/>
      </left>
      <right/>
      <top style="thin">
        <color indexed="64"/>
      </top>
      <bottom style="thin">
        <color indexed="64"/>
      </bottom>
      <diagonal/>
    </border>
    <border>
      <left style="medium">
        <color theme="9" tint="-0.499984740745262"/>
      </left>
      <right/>
      <top style="thin">
        <color indexed="64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thin">
        <color indexed="64"/>
      </bottom>
      <diagonal/>
    </border>
    <border>
      <left/>
      <right style="medium">
        <color theme="9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9" tint="-0.499984740745262"/>
      </right>
      <top style="thin">
        <color indexed="64"/>
      </top>
      <bottom style="medium">
        <color theme="9" tint="-0.499984740745262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thin">
        <color theme="9" tint="-0.499984740745262"/>
      </bottom>
      <diagonal/>
    </border>
    <border>
      <left style="medium">
        <color rgb="FFC00000"/>
      </left>
      <right style="medium">
        <color rgb="FFC00000"/>
      </right>
      <top style="thin">
        <color theme="9" tint="-0.499984740745262"/>
      </top>
      <bottom style="thin">
        <color theme="9" tint="-0.499984740745262"/>
      </bottom>
      <diagonal/>
    </border>
    <border>
      <left style="medium">
        <color rgb="FFC00000"/>
      </left>
      <right style="medium">
        <color rgb="FFC00000"/>
      </right>
      <top/>
      <bottom style="thin">
        <color theme="9" tint="-0.499984740745262"/>
      </bottom>
      <diagonal/>
    </border>
    <border>
      <left style="medium">
        <color rgb="FFC00000"/>
      </left>
      <right style="medium">
        <color rgb="FFC00000"/>
      </right>
      <top style="thin">
        <color theme="9" tint="-0.499984740745262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thin">
        <color auto="1"/>
      </bottom>
      <diagonal/>
    </border>
    <border>
      <left/>
      <right style="medium">
        <color rgb="FFC00000"/>
      </right>
      <top style="thin">
        <color auto="1"/>
      </top>
      <bottom style="thin">
        <color auto="1"/>
      </bottom>
      <diagonal/>
    </border>
    <border>
      <left style="medium">
        <color rgb="FFC00000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76">
    <xf numFmtId="0" fontId="0" fillId="0" borderId="0" xfId="0"/>
    <xf numFmtId="0" fontId="2" fillId="0" borderId="0" xfId="0" applyFont="1"/>
    <xf numFmtId="0" fontId="3" fillId="4" borderId="0" xfId="0" applyFont="1" applyFill="1" applyAlignment="1"/>
    <xf numFmtId="0" fontId="4" fillId="4" borderId="0" xfId="0" applyFont="1" applyFill="1" applyAlignment="1"/>
    <xf numFmtId="0" fontId="3" fillId="2" borderId="0" xfId="0" applyFont="1" applyFill="1"/>
    <xf numFmtId="0" fontId="3" fillId="0" borderId="0" xfId="0" applyFont="1"/>
    <xf numFmtId="0" fontId="0" fillId="0" borderId="1" xfId="0" applyBorder="1"/>
    <xf numFmtId="0" fontId="0" fillId="0" borderId="0" xfId="0" applyAlignment="1"/>
    <xf numFmtId="0" fontId="0" fillId="0" borderId="3" xfId="0" applyBorder="1"/>
    <xf numFmtId="0" fontId="2" fillId="0" borderId="0" xfId="0" applyFont="1" applyBorder="1" applyAlignment="1"/>
    <xf numFmtId="0" fontId="0" fillId="0" borderId="0" xfId="0" applyBorder="1"/>
    <xf numFmtId="3" fontId="0" fillId="0" borderId="6" xfId="0" applyNumberFormat="1" applyBorder="1"/>
    <xf numFmtId="3" fontId="0" fillId="0" borderId="7" xfId="0" applyNumberFormat="1" applyBorder="1"/>
    <xf numFmtId="0" fontId="0" fillId="0" borderId="8" xfId="0" applyBorder="1"/>
    <xf numFmtId="8" fontId="0" fillId="0" borderId="9" xfId="0" applyNumberFormat="1" applyBorder="1"/>
    <xf numFmtId="8" fontId="0" fillId="0" borderId="5" xfId="0" applyNumberFormat="1" applyBorder="1"/>
    <xf numFmtId="8" fontId="0" fillId="0" borderId="10" xfId="0" applyNumberFormat="1" applyBorder="1"/>
    <xf numFmtId="8" fontId="0" fillId="0" borderId="12" xfId="0" applyNumberFormat="1" applyBorder="1"/>
    <xf numFmtId="8" fontId="0" fillId="0" borderId="13" xfId="0" applyNumberFormat="1" applyBorder="1"/>
    <xf numFmtId="8" fontId="0" fillId="0" borderId="14" xfId="0" applyNumberFormat="1" applyBorder="1"/>
    <xf numFmtId="0" fontId="2" fillId="3" borderId="3" xfId="0" applyFont="1" applyFill="1" applyBorder="1"/>
    <xf numFmtId="0" fontId="2" fillId="3" borderId="16" xfId="0" applyFont="1" applyFill="1" applyBorder="1"/>
    <xf numFmtId="0" fontId="0" fillId="0" borderId="17" xfId="0" applyBorder="1"/>
    <xf numFmtId="0" fontId="0" fillId="0" borderId="28" xfId="0" applyBorder="1"/>
    <xf numFmtId="0" fontId="0" fillId="0" borderId="30" xfId="0" applyBorder="1"/>
    <xf numFmtId="0" fontId="0" fillId="0" borderId="32" xfId="0" applyBorder="1"/>
    <xf numFmtId="0" fontId="0" fillId="0" borderId="6" xfId="0" applyBorder="1"/>
    <xf numFmtId="0" fontId="0" fillId="0" borderId="7" xfId="0" applyBorder="1"/>
    <xf numFmtId="0" fontId="0" fillId="0" borderId="20" xfId="0" applyBorder="1"/>
    <xf numFmtId="0" fontId="0" fillId="0" borderId="12" xfId="0" applyBorder="1"/>
    <xf numFmtId="0" fontId="0" fillId="0" borderId="13" xfId="0" applyBorder="1"/>
    <xf numFmtId="0" fontId="2" fillId="0" borderId="14" xfId="0" applyFont="1" applyBorder="1"/>
    <xf numFmtId="8" fontId="2" fillId="0" borderId="14" xfId="0" applyNumberFormat="1" applyFont="1" applyBorder="1"/>
    <xf numFmtId="3" fontId="2" fillId="0" borderId="2" xfId="0" applyNumberFormat="1" applyFont="1" applyFill="1" applyBorder="1"/>
    <xf numFmtId="8" fontId="2" fillId="0" borderId="11" xfId="0" applyNumberFormat="1" applyFont="1" applyFill="1" applyBorder="1"/>
    <xf numFmtId="0" fontId="2" fillId="0" borderId="1" xfId="0" applyFont="1" applyBorder="1"/>
    <xf numFmtId="0" fontId="2" fillId="0" borderId="4" xfId="0" applyFont="1" applyBorder="1"/>
    <xf numFmtId="7" fontId="0" fillId="7" borderId="41" xfId="0" applyNumberFormat="1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8" fontId="0" fillId="7" borderId="44" xfId="0" applyNumberFormat="1" applyFill="1" applyBorder="1" applyAlignment="1">
      <alignment horizontal="center"/>
    </xf>
    <xf numFmtId="8" fontId="2" fillId="0" borderId="20" xfId="0" applyNumberFormat="1" applyFont="1" applyBorder="1"/>
    <xf numFmtId="8" fontId="0" fillId="0" borderId="50" xfId="0" applyNumberFormat="1" applyBorder="1"/>
    <xf numFmtId="0" fontId="0" fillId="0" borderId="50" xfId="0" applyBorder="1"/>
    <xf numFmtId="8" fontId="0" fillId="0" borderId="40" xfId="0" applyNumberFormat="1" applyBorder="1"/>
    <xf numFmtId="8" fontId="0" fillId="0" borderId="45" xfId="0" applyNumberFormat="1" applyBorder="1"/>
    <xf numFmtId="8" fontId="0" fillId="0" borderId="46" xfId="0" applyNumberFormat="1" applyBorder="1"/>
    <xf numFmtId="0" fontId="0" fillId="0" borderId="23" xfId="0" applyBorder="1"/>
    <xf numFmtId="0" fontId="3" fillId="2" borderId="0" xfId="0" applyFont="1" applyFill="1" applyAlignment="1"/>
    <xf numFmtId="0" fontId="0" fillId="0" borderId="0" xfId="0" applyFill="1" applyBorder="1" applyAlignment="1"/>
    <xf numFmtId="8" fontId="2" fillId="0" borderId="0" xfId="0" applyNumberFormat="1" applyFont="1" applyFill="1" applyBorder="1" applyAlignment="1"/>
    <xf numFmtId="8" fontId="0" fillId="0" borderId="26" xfId="0" applyNumberFormat="1" applyFill="1" applyBorder="1" applyProtection="1">
      <protection locked="0"/>
    </xf>
    <xf numFmtId="8" fontId="0" fillId="0" borderId="27" xfId="0" applyNumberFormat="1" applyFill="1" applyBorder="1" applyProtection="1">
      <protection locked="0"/>
    </xf>
    <xf numFmtId="8" fontId="0" fillId="0" borderId="15" xfId="0" applyNumberFormat="1" applyFill="1" applyBorder="1" applyProtection="1">
      <protection locked="0"/>
    </xf>
    <xf numFmtId="8" fontId="2" fillId="0" borderId="25" xfId="0" applyNumberFormat="1" applyFont="1" applyFill="1" applyBorder="1" applyProtection="1">
      <protection locked="0"/>
    </xf>
    <xf numFmtId="0" fontId="2" fillId="0" borderId="0" xfId="0" applyFont="1" applyFill="1" applyBorder="1"/>
    <xf numFmtId="0" fontId="4" fillId="0" borderId="0" xfId="0" applyFont="1" applyFill="1" applyAlignment="1"/>
    <xf numFmtId="0" fontId="3" fillId="0" borderId="0" xfId="0" applyFont="1" applyFill="1"/>
    <xf numFmtId="0" fontId="1" fillId="2" borderId="21" xfId="0" applyFont="1" applyFill="1" applyBorder="1" applyAlignment="1">
      <alignment horizontal="center"/>
    </xf>
    <xf numFmtId="0" fontId="1" fillId="2" borderId="48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26" xfId="0" applyNumberFormat="1" applyFill="1" applyBorder="1" applyProtection="1">
      <protection locked="0"/>
    </xf>
    <xf numFmtId="0" fontId="0" fillId="0" borderId="27" xfId="0" applyFill="1" applyBorder="1" applyProtection="1">
      <protection locked="0"/>
    </xf>
    <xf numFmtId="8" fontId="0" fillId="0" borderId="57" xfId="0" applyNumberFormat="1" applyFill="1" applyBorder="1" applyProtection="1">
      <protection locked="0"/>
    </xf>
    <xf numFmtId="8" fontId="2" fillId="0" borderId="58" xfId="0" applyNumberFormat="1" applyFont="1" applyFill="1" applyBorder="1" applyProtection="1">
      <protection locked="0"/>
    </xf>
    <xf numFmtId="8" fontId="2" fillId="0" borderId="35" xfId="0" applyNumberFormat="1" applyFont="1" applyFill="1" applyBorder="1" applyProtection="1">
      <protection locked="0"/>
    </xf>
    <xf numFmtId="8" fontId="0" fillId="0" borderId="35" xfId="0" applyNumberFormat="1" applyFill="1" applyBorder="1" applyProtection="1">
      <protection locked="0"/>
    </xf>
    <xf numFmtId="0" fontId="0" fillId="0" borderId="59" xfId="0" applyBorder="1"/>
    <xf numFmtId="0" fontId="0" fillId="0" borderId="29" xfId="0" applyBorder="1"/>
    <xf numFmtId="0" fontId="0" fillId="0" borderId="31" xfId="0" applyBorder="1"/>
    <xf numFmtId="0" fontId="0" fillId="0" borderId="60" xfId="0" applyBorder="1"/>
    <xf numFmtId="0" fontId="0" fillId="0" borderId="33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6" fillId="0" borderId="28" xfId="1" applyFont="1" applyBorder="1" applyAlignment="1">
      <alignment vertical="center"/>
    </xf>
    <xf numFmtId="0" fontId="6" fillId="0" borderId="30" xfId="1" applyFont="1" applyBorder="1" applyAlignment="1">
      <alignment vertical="center"/>
    </xf>
    <xf numFmtId="14" fontId="0" fillId="0" borderId="62" xfId="0" applyNumberFormat="1" applyBorder="1"/>
    <xf numFmtId="14" fontId="0" fillId="0" borderId="63" xfId="0" applyNumberFormat="1" applyBorder="1"/>
    <xf numFmtId="0" fontId="0" fillId="0" borderId="61" xfId="0" applyBorder="1" applyAlignment="1"/>
    <xf numFmtId="8" fontId="0" fillId="0" borderId="65" xfId="0" applyNumberFormat="1" applyBorder="1"/>
    <xf numFmtId="8" fontId="2" fillId="0" borderId="0" xfId="0" applyNumberFormat="1" applyFont="1" applyFill="1" applyBorder="1" applyAlignment="1" applyProtection="1">
      <protection locked="0"/>
    </xf>
    <xf numFmtId="0" fontId="2" fillId="0" borderId="0" xfId="0" applyFont="1" applyFill="1" applyBorder="1" applyAlignment="1" applyProtection="1">
      <protection locked="0"/>
    </xf>
    <xf numFmtId="0" fontId="0" fillId="0" borderId="0" xfId="0" applyFill="1"/>
    <xf numFmtId="8" fontId="2" fillId="0" borderId="57" xfId="0" applyNumberFormat="1" applyFont="1" applyFill="1" applyBorder="1" applyProtection="1">
      <protection locked="0"/>
    </xf>
    <xf numFmtId="8" fontId="0" fillId="0" borderId="63" xfId="0" applyNumberFormat="1" applyBorder="1"/>
    <xf numFmtId="0" fontId="0" fillId="0" borderId="61" xfId="0" applyBorder="1" applyAlignment="1">
      <alignment horizontal="center"/>
    </xf>
    <xf numFmtId="8" fontId="0" fillId="0" borderId="68" xfId="0" applyNumberFormat="1" applyBorder="1"/>
    <xf numFmtId="0" fontId="0" fillId="0" borderId="73" xfId="0" applyBorder="1"/>
    <xf numFmtId="0" fontId="1" fillId="2" borderId="0" xfId="0" applyFont="1" applyFill="1" applyAlignment="1">
      <alignment horizontal="center"/>
    </xf>
    <xf numFmtId="8" fontId="0" fillId="0" borderId="74" xfId="0" applyNumberFormat="1" applyFill="1" applyBorder="1" applyProtection="1">
      <protection locked="0"/>
    </xf>
    <xf numFmtId="0" fontId="0" fillId="0" borderId="75" xfId="0" applyFill="1" applyBorder="1" applyProtection="1">
      <protection locked="0"/>
    </xf>
    <xf numFmtId="8" fontId="2" fillId="0" borderId="76" xfId="0" applyNumberFormat="1" applyFont="1" applyFill="1" applyBorder="1" applyProtection="1">
      <protection locked="0"/>
    </xf>
    <xf numFmtId="8" fontId="0" fillId="0" borderId="80" xfId="0" applyNumberFormat="1" applyBorder="1"/>
    <xf numFmtId="8" fontId="0" fillId="0" borderId="81" xfId="0" applyNumberFormat="1" applyBorder="1"/>
    <xf numFmtId="0" fontId="0" fillId="0" borderId="82" xfId="0" applyBorder="1"/>
    <xf numFmtId="0" fontId="0" fillId="0" borderId="83" xfId="0" applyBorder="1"/>
    <xf numFmtId="8" fontId="0" fillId="10" borderId="37" xfId="0" applyNumberFormat="1" applyFill="1" applyBorder="1" applyProtection="1">
      <protection locked="0"/>
    </xf>
    <xf numFmtId="8" fontId="0" fillId="10" borderId="38" xfId="0" applyNumberFormat="1" applyFill="1" applyBorder="1" applyProtection="1">
      <protection locked="0"/>
    </xf>
    <xf numFmtId="8" fontId="2" fillId="10" borderId="39" xfId="0" applyNumberFormat="1" applyFont="1" applyFill="1" applyBorder="1" applyProtection="1">
      <protection locked="0"/>
    </xf>
    <xf numFmtId="8" fontId="2" fillId="11" borderId="79" xfId="0" applyNumberFormat="1" applyFont="1" applyFill="1" applyBorder="1" applyProtection="1">
      <protection locked="0"/>
    </xf>
    <xf numFmtId="8" fontId="0" fillId="10" borderId="36" xfId="0" applyNumberFormat="1" applyFill="1" applyBorder="1" applyProtection="1">
      <protection locked="0"/>
    </xf>
    <xf numFmtId="8" fontId="2" fillId="10" borderId="36" xfId="0" applyNumberFormat="1" applyFont="1" applyFill="1" applyBorder="1" applyProtection="1">
      <protection locked="0"/>
    </xf>
    <xf numFmtId="164" fontId="0" fillId="10" borderId="36" xfId="0" applyNumberFormat="1" applyFill="1" applyBorder="1" applyProtection="1">
      <protection locked="0"/>
    </xf>
    <xf numFmtId="0" fontId="0" fillId="10" borderId="20" xfId="0" applyFill="1" applyBorder="1" applyProtection="1">
      <protection locked="0"/>
    </xf>
    <xf numFmtId="164" fontId="2" fillId="10" borderId="20" xfId="0" applyNumberFormat="1" applyFont="1" applyFill="1" applyBorder="1" applyProtection="1">
      <protection locked="0"/>
    </xf>
    <xf numFmtId="8" fontId="0" fillId="0" borderId="63" xfId="0" applyNumberFormat="1" applyFill="1" applyBorder="1"/>
    <xf numFmtId="8" fontId="0" fillId="0" borderId="65" xfId="0" applyNumberFormat="1" applyFill="1" applyBorder="1"/>
    <xf numFmtId="8" fontId="0" fillId="0" borderId="65" xfId="0" applyNumberFormat="1" applyFill="1" applyBorder="1" applyProtection="1"/>
    <xf numFmtId="0" fontId="2" fillId="6" borderId="11" xfId="0" applyFont="1" applyFill="1" applyBorder="1"/>
    <xf numFmtId="0" fontId="2" fillId="8" borderId="3" xfId="0" applyFont="1" applyFill="1" applyBorder="1"/>
    <xf numFmtId="3" fontId="0" fillId="0" borderId="0" xfId="0" applyNumberFormat="1"/>
    <xf numFmtId="0" fontId="9" fillId="0" borderId="0" xfId="0" applyFont="1"/>
    <xf numFmtId="8" fontId="2" fillId="11" borderId="68" xfId="0" applyNumberFormat="1" applyFont="1" applyFill="1" applyBorder="1" applyAlignment="1" applyProtection="1">
      <alignment horizontal="right"/>
      <protection locked="0"/>
    </xf>
    <xf numFmtId="8" fontId="0" fillId="0" borderId="0" xfId="0" applyNumberFormat="1"/>
    <xf numFmtId="8" fontId="0" fillId="0" borderId="77" xfId="0" applyNumberFormat="1" applyFill="1" applyBorder="1" applyProtection="1">
      <protection locked="0"/>
    </xf>
    <xf numFmtId="8" fontId="0" fillId="0" borderId="78" xfId="0" applyNumberFormat="1" applyFill="1" applyBorder="1" applyProtection="1">
      <protection locked="0"/>
    </xf>
    <xf numFmtId="0" fontId="0" fillId="0" borderId="78" xfId="0" applyFill="1" applyBorder="1" applyProtection="1">
      <protection locked="0"/>
    </xf>
    <xf numFmtId="8" fontId="0" fillId="0" borderId="63" xfId="0" applyNumberFormat="1" applyFill="1" applyBorder="1" applyAlignment="1" applyProtection="1">
      <protection locked="0"/>
    </xf>
    <xf numFmtId="8" fontId="2" fillId="11" borderId="65" xfId="0" applyNumberFormat="1" applyFont="1" applyFill="1" applyBorder="1" applyAlignment="1" applyProtection="1">
      <alignment horizontal="right"/>
      <protection locked="0"/>
    </xf>
    <xf numFmtId="8" fontId="2" fillId="11" borderId="20" xfId="0" applyNumberFormat="1" applyFont="1" applyFill="1" applyBorder="1" applyAlignment="1">
      <alignment horizontal="right"/>
    </xf>
    <xf numFmtId="0" fontId="0" fillId="0" borderId="84" xfId="0" applyBorder="1"/>
    <xf numFmtId="0" fontId="0" fillId="0" borderId="85" xfId="0" applyBorder="1"/>
    <xf numFmtId="0" fontId="0" fillId="0" borderId="86" xfId="0" applyBorder="1"/>
    <xf numFmtId="0" fontId="0" fillId="0" borderId="2" xfId="0" applyBorder="1"/>
    <xf numFmtId="8" fontId="2" fillId="6" borderId="42" xfId="0" applyNumberFormat="1" applyFont="1" applyFill="1" applyBorder="1" applyAlignment="1" applyProtection="1">
      <protection locked="0"/>
    </xf>
    <xf numFmtId="0" fontId="2" fillId="6" borderId="43" xfId="0" applyFont="1" applyFill="1" applyBorder="1" applyAlignment="1" applyProtection="1">
      <protection locked="0"/>
    </xf>
    <xf numFmtId="0" fontId="2" fillId="0" borderId="71" xfId="0" applyFont="1" applyBorder="1" applyAlignment="1"/>
    <xf numFmtId="0" fontId="0" fillId="0" borderId="72" xfId="0" applyBorder="1" applyAlignment="1"/>
    <xf numFmtId="0" fontId="7" fillId="0" borderId="24" xfId="0" applyFont="1" applyFill="1" applyBorder="1" applyAlignment="1"/>
    <xf numFmtId="0" fontId="8" fillId="0" borderId="24" xfId="0" applyFont="1" applyFill="1" applyBorder="1" applyAlignme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34" xfId="0" applyFont="1" applyBorder="1" applyAlignment="1"/>
    <xf numFmtId="0" fontId="2" fillId="0" borderId="35" xfId="0" applyFont="1" applyBorder="1" applyAlignment="1"/>
    <xf numFmtId="0" fontId="2" fillId="0" borderId="36" xfId="0" applyFont="1" applyBorder="1" applyAlignment="1"/>
    <xf numFmtId="0" fontId="2" fillId="9" borderId="34" xfId="0" applyFont="1" applyFill="1" applyBorder="1" applyAlignment="1">
      <alignment horizontal="center"/>
    </xf>
    <xf numFmtId="0" fontId="2" fillId="9" borderId="35" xfId="0" applyFont="1" applyFill="1" applyBorder="1" applyAlignment="1">
      <alignment horizontal="center"/>
    </xf>
    <xf numFmtId="0" fontId="2" fillId="9" borderId="36" xfId="0" applyFont="1" applyFill="1" applyBorder="1" applyAlignment="1">
      <alignment horizontal="center"/>
    </xf>
    <xf numFmtId="0" fontId="0" fillId="5" borderId="53" xfId="0" applyFill="1" applyBorder="1" applyAlignment="1"/>
    <xf numFmtId="0" fontId="0" fillId="5" borderId="54" xfId="0" applyFill="1" applyBorder="1" applyAlignment="1"/>
    <xf numFmtId="0" fontId="0" fillId="5" borderId="55" xfId="0" applyFill="1" applyBorder="1" applyAlignment="1"/>
    <xf numFmtId="0" fontId="0" fillId="5" borderId="56" xfId="0" applyFill="1" applyBorder="1" applyAlignment="1"/>
    <xf numFmtId="0" fontId="0" fillId="5" borderId="51" xfId="0" applyFill="1" applyBorder="1" applyAlignment="1"/>
    <xf numFmtId="0" fontId="0" fillId="5" borderId="52" xfId="0" applyFill="1" applyBorder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0" borderId="49" xfId="0" applyBorder="1" applyAlignment="1"/>
    <xf numFmtId="0" fontId="0" fillId="0" borderId="70" xfId="0" applyBorder="1" applyAlignment="1"/>
    <xf numFmtId="0" fontId="0" fillId="0" borderId="34" xfId="0" applyBorder="1" applyAlignment="1"/>
    <xf numFmtId="0" fontId="0" fillId="0" borderId="35" xfId="0" applyBorder="1" applyAlignment="1"/>
    <xf numFmtId="0" fontId="2" fillId="0" borderId="11" xfId="0" applyFont="1" applyFill="1" applyBorder="1" applyAlignment="1"/>
    <xf numFmtId="0" fontId="2" fillId="0" borderId="18" xfId="0" applyFont="1" applyFill="1" applyBorder="1" applyAlignment="1"/>
    <xf numFmtId="0" fontId="2" fillId="0" borderId="19" xfId="0" applyFont="1" applyFill="1" applyBorder="1" applyAlignment="1"/>
    <xf numFmtId="0" fontId="2" fillId="0" borderId="46" xfId="0" applyFont="1" applyBorder="1" applyAlignment="1"/>
    <xf numFmtId="0" fontId="2" fillId="0" borderId="69" xfId="0" applyFont="1" applyBorder="1" applyAlignment="1"/>
    <xf numFmtId="0" fontId="2" fillId="0" borderId="47" xfId="0" applyFont="1" applyBorder="1" applyAlignment="1"/>
    <xf numFmtId="8" fontId="2" fillId="8" borderId="51" xfId="0" applyNumberFormat="1" applyFont="1" applyFill="1" applyBorder="1" applyAlignment="1" applyProtection="1">
      <protection locked="0"/>
    </xf>
    <xf numFmtId="0" fontId="2" fillId="8" borderId="52" xfId="0" applyFont="1" applyFill="1" applyBorder="1" applyAlignment="1" applyProtection="1">
      <protection locked="0"/>
    </xf>
    <xf numFmtId="0" fontId="12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11" fillId="0" borderId="0" xfId="0" applyFont="1" applyBorder="1"/>
    <xf numFmtId="0" fontId="13" fillId="10" borderId="0" xfId="0" applyFont="1" applyFill="1" applyAlignment="1">
      <alignment horizontal="center" vertical="center"/>
    </xf>
  </cellXfs>
  <cellStyles count="2">
    <cellStyle name="Normal" xfId="0" builtinId="0"/>
    <cellStyle name="Normal 3" xfId="1" xr:uid="{95552739-6A5E-4E9A-BFAC-DD10ACAFBA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chelle Brown" id="{18F62257-8CCF-417D-B022-C8BD7EF0A2E7}" userId="8f35ac9ff4e64a5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1-08-01T15:47:16.07" personId="{18F62257-8CCF-417D-B022-C8BD7EF0A2E7}" id="{579B02AA-0771-4667-9C88-564224F3A8E9}">
    <text>WARNING: Do not touch -These two rows calculated automatically.</text>
  </threadedComment>
  <threadedComment ref="B8" dT="2021-08-02T00:28:06.56" personId="{18F62257-8CCF-417D-B022-C8BD7EF0A2E7}" id="{B9D22477-BFDE-4112-92AA-44A6D4E293E1}">
    <text>WARNING: Do not touch - these two areas calculate automatically.</text>
  </threadedComment>
  <threadedComment ref="J15" dT="2021-08-02T00:39:06.69" personId="{18F62257-8CCF-417D-B022-C8BD7EF0A2E7}" id="{42EFC572-C8C4-4BD8-9D0C-55217E49E78B}">
    <text>Markup is based on Regular Hours NOT overtime to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7" dT="2021-08-01T15:47:16.07" personId="{18F62257-8CCF-417D-B022-C8BD7EF0A2E7}" id="{8C922DAA-E5EA-44F7-9737-96E97FC5F809}">
    <text>WARNING: Do not touch -These two rows calculated automatically.</text>
  </threadedComment>
  <threadedComment ref="B8" dT="2021-08-02T00:28:06.56" personId="{18F62257-8CCF-417D-B022-C8BD7EF0A2E7}" id="{1B8A524F-DAA7-4B32-BFCC-324B2E48B65C}">
    <text>WARNING: Do not touch - these two areas calculate automatically.</text>
  </threadedComment>
  <threadedComment ref="J14" dT="2021-08-02T00:39:06.69" personId="{18F62257-8CCF-417D-B022-C8BD7EF0A2E7}" id="{8E250425-F902-426B-9084-562D9F1B0D17}">
    <text>Markup is based on Regular Hours NOT overtime to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7" dT="2021-08-01T15:47:16.07" personId="{18F62257-8CCF-417D-B022-C8BD7EF0A2E7}" id="{D04B3656-F4EC-430D-BD5B-D9AA61552ABC}">
    <text>WARNING: Do not touch -These two rows calculated automatically.</text>
  </threadedComment>
  <threadedComment ref="B8" dT="2021-08-02T00:28:06.56" personId="{18F62257-8CCF-417D-B022-C8BD7EF0A2E7}" id="{7943A776-B9E8-4185-AF8A-1D68E88544FC}">
    <text>WARNING: Do not touch - these two areas calculate automatically.</text>
  </threadedComment>
  <threadedComment ref="J14" dT="2021-08-02T00:39:06.69" personId="{18F62257-8CCF-417D-B022-C8BD7EF0A2E7}" id="{C29C0A41-8826-40AB-BA19-7448C21BC380}">
    <text>Markup is based on Regular Hours NOT overtime to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7" dT="2021-08-01T15:47:16.07" personId="{18F62257-8CCF-417D-B022-C8BD7EF0A2E7}" id="{0061922E-DC70-45E0-B846-49B0D7344E77}">
    <text>WARNING: Do not touch -These two rows calculated automatically.</text>
  </threadedComment>
  <threadedComment ref="B8" dT="2021-08-02T00:28:06.56" personId="{18F62257-8CCF-417D-B022-C8BD7EF0A2E7}" id="{70D27D18-52D4-4936-BB35-6CBD5A5AB2B2}">
    <text>WARNING: Do not touch - these two areas calculate automatically.</text>
  </threadedComment>
  <threadedComment ref="J14" dT="2021-08-02T00:39:06.69" personId="{18F62257-8CCF-417D-B022-C8BD7EF0A2E7}" id="{9F2A79E7-E846-4EAD-B980-BF18CFC4906B}">
    <text>Markup is based on Regular Hours NOT overtime to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7" dT="2021-08-01T15:47:16.07" personId="{18F62257-8CCF-417D-B022-C8BD7EF0A2E7}" id="{CBA5F182-D1FA-4C8C-B898-B9A791194990}">
    <text>WARNING: Do not touch -These two rows calculated automatically.</text>
  </threadedComment>
  <threadedComment ref="B8" dT="2021-08-02T00:28:06.56" personId="{18F62257-8CCF-417D-B022-C8BD7EF0A2E7}" id="{76D67CE8-C74A-4783-A2B3-69EE88D3A5CD}">
    <text>WARNING: Do not touch - these two areas calculate automatically.</text>
  </threadedComment>
  <threadedComment ref="J14" dT="2021-08-02T00:39:06.69" personId="{18F62257-8CCF-417D-B022-C8BD7EF0A2E7}" id="{8E511047-0E89-4F91-9D9E-1ABD5823F8D2}">
    <text>Markup is based on Regular Hours NOT overtime 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1345-8CBD-45CC-8D67-B22DB876071E}">
  <dimension ref="A1:U61"/>
  <sheetViews>
    <sheetView tabSelected="1" workbookViewId="0">
      <selection activeCell="E9" sqref="E9"/>
    </sheetView>
  </sheetViews>
  <sheetFormatPr defaultRowHeight="15" x14ac:dyDescent="0.25"/>
  <cols>
    <col min="1" max="1" width="25.5703125" customWidth="1"/>
    <col min="2" max="2" width="23.140625" customWidth="1"/>
    <col min="3" max="3" width="12.5703125" customWidth="1"/>
    <col min="4" max="4" width="14.7109375" customWidth="1"/>
    <col min="5" max="5" width="12.85546875" customWidth="1"/>
    <col min="6" max="6" width="15.42578125" customWidth="1"/>
    <col min="7" max="7" width="13.7109375" customWidth="1"/>
    <col min="8" max="8" width="12.85546875" customWidth="1"/>
    <col min="9" max="9" width="12.5703125" customWidth="1"/>
    <col min="10" max="10" width="20.28515625" customWidth="1"/>
    <col min="11" max="11" width="15.42578125" customWidth="1"/>
    <col min="12" max="12" width="21" customWidth="1"/>
  </cols>
  <sheetData>
    <row r="1" spans="1:21" ht="15.75" customHeight="1" x14ac:dyDescent="0.25">
      <c r="A1" s="144" t="s">
        <v>59</v>
      </c>
      <c r="B1" s="145"/>
      <c r="C1" s="145"/>
      <c r="D1" s="7"/>
      <c r="F1" s="175" t="s">
        <v>91</v>
      </c>
      <c r="G1" s="175"/>
      <c r="H1" s="175"/>
      <c r="I1" s="175"/>
      <c r="J1" s="175"/>
    </row>
    <row r="2" spans="1:21" ht="15" customHeight="1" x14ac:dyDescent="0.25">
      <c r="A2" s="21" t="s">
        <v>2</v>
      </c>
      <c r="B2" s="152" t="s">
        <v>54</v>
      </c>
      <c r="C2" s="153"/>
      <c r="F2" s="175"/>
      <c r="G2" s="175"/>
      <c r="H2" s="175"/>
      <c r="I2" s="175"/>
      <c r="J2" s="175"/>
      <c r="K2" s="124"/>
    </row>
    <row r="3" spans="1:21" ht="15" customHeight="1" x14ac:dyDescent="0.25">
      <c r="A3" s="20" t="s">
        <v>1</v>
      </c>
      <c r="B3" s="154" t="s">
        <v>55</v>
      </c>
      <c r="C3" s="155"/>
      <c r="D3" s="55"/>
      <c r="F3" s="175"/>
      <c r="G3" s="175"/>
      <c r="H3" s="175"/>
      <c r="I3" s="175"/>
      <c r="J3" s="175"/>
      <c r="K3" s="124"/>
    </row>
    <row r="4" spans="1:21" ht="15" customHeight="1" x14ac:dyDescent="0.25">
      <c r="A4" s="20" t="s">
        <v>3</v>
      </c>
      <c r="B4" s="154" t="s">
        <v>56</v>
      </c>
      <c r="C4" s="155"/>
      <c r="D4" s="55"/>
      <c r="F4" s="175"/>
      <c r="G4" s="175"/>
      <c r="H4" s="175"/>
      <c r="I4" s="175"/>
      <c r="J4" s="175"/>
      <c r="K4" s="124"/>
    </row>
    <row r="5" spans="1:21" x14ac:dyDescent="0.25">
      <c r="A5" s="20" t="s">
        <v>0</v>
      </c>
      <c r="B5" s="154" t="s">
        <v>57</v>
      </c>
      <c r="C5" s="155"/>
      <c r="D5" s="55"/>
      <c r="E5" s="173" t="s">
        <v>92</v>
      </c>
      <c r="F5" s="173"/>
      <c r="G5" s="173"/>
      <c r="H5" s="173"/>
      <c r="I5" s="173"/>
      <c r="J5" s="173"/>
      <c r="K5" s="173"/>
    </row>
    <row r="6" spans="1:21" x14ac:dyDescent="0.25">
      <c r="A6" s="20" t="s">
        <v>18</v>
      </c>
      <c r="B6" s="156" t="s">
        <v>58</v>
      </c>
      <c r="C6" s="157"/>
      <c r="D6" s="55"/>
      <c r="E6" s="174"/>
      <c r="F6" s="174"/>
      <c r="G6" s="174"/>
      <c r="H6" s="174"/>
      <c r="I6" s="174"/>
      <c r="J6" s="174"/>
      <c r="K6" s="174"/>
    </row>
    <row r="7" spans="1:21" ht="15" customHeight="1" x14ac:dyDescent="0.25">
      <c r="A7" s="123" t="s">
        <v>51</v>
      </c>
      <c r="B7" s="170">
        <f>L27+L36+L46+L58</f>
        <v>0</v>
      </c>
      <c r="C7" s="171"/>
      <c r="D7" s="55"/>
      <c r="E7" s="172" t="s">
        <v>93</v>
      </c>
      <c r="F7" s="172"/>
      <c r="G7" s="172"/>
      <c r="H7" s="172"/>
      <c r="I7" s="172"/>
      <c r="J7" s="172"/>
      <c r="K7" s="172"/>
    </row>
    <row r="8" spans="1:21" ht="15" customHeight="1" x14ac:dyDescent="0.25">
      <c r="A8" s="122" t="s">
        <v>4</v>
      </c>
      <c r="B8" s="138">
        <f>K27+K36+K46+K58</f>
        <v>0</v>
      </c>
      <c r="C8" s="139"/>
      <c r="D8" s="56" t="s">
        <v>71</v>
      </c>
    </row>
    <row r="9" spans="1:21" s="96" customFormat="1" ht="15" customHeight="1" x14ac:dyDescent="0.25">
      <c r="A9" s="61"/>
      <c r="B9" s="94"/>
      <c r="C9" s="95"/>
      <c r="D9" s="56"/>
    </row>
    <row r="10" spans="1:21" s="96" customFormat="1" x14ac:dyDescent="0.25">
      <c r="A10" s="61"/>
      <c r="B10" s="94"/>
      <c r="C10" s="95"/>
      <c r="D10" s="56"/>
    </row>
    <row r="11" spans="1:21" ht="11.25" customHeight="1" x14ac:dyDescent="0.25">
      <c r="A11" s="61"/>
      <c r="B11" s="9"/>
      <c r="C11" s="9"/>
      <c r="D11" s="56"/>
    </row>
    <row r="12" spans="1:21" s="96" customFormat="1" ht="21.75" customHeight="1" x14ac:dyDescent="0.25">
      <c r="A12" s="142" t="s">
        <v>72</v>
      </c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</row>
    <row r="13" spans="1:21" x14ac:dyDescent="0.25">
      <c r="A13" s="149" t="s">
        <v>52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1"/>
    </row>
    <row r="14" spans="1:21" s="1" customFormat="1" ht="15.75" x14ac:dyDescent="0.25">
      <c r="A14" s="2" t="s">
        <v>10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62"/>
      <c r="N14" s="62"/>
      <c r="O14" s="62"/>
      <c r="P14" s="62"/>
      <c r="Q14" s="62"/>
      <c r="R14" s="62"/>
      <c r="S14" s="62"/>
      <c r="T14" s="62"/>
      <c r="U14" s="62"/>
    </row>
    <row r="15" spans="1:21" s="5" customFormat="1" ht="16.5" thickBot="1" x14ac:dyDescent="0.3">
      <c r="A15" s="4" t="s">
        <v>5</v>
      </c>
      <c r="B15" s="4" t="s">
        <v>13</v>
      </c>
      <c r="C15" s="4" t="s">
        <v>16</v>
      </c>
      <c r="D15" s="4" t="s">
        <v>17</v>
      </c>
      <c r="E15" s="54" t="s">
        <v>21</v>
      </c>
      <c r="F15" s="4" t="s">
        <v>33</v>
      </c>
      <c r="G15" s="4" t="s">
        <v>23</v>
      </c>
      <c r="H15" s="4" t="s">
        <v>22</v>
      </c>
      <c r="I15" s="4" t="s">
        <v>34</v>
      </c>
      <c r="J15" s="4" t="s">
        <v>61</v>
      </c>
      <c r="K15" s="4" t="s">
        <v>60</v>
      </c>
      <c r="L15" s="4" t="s">
        <v>53</v>
      </c>
      <c r="M15" s="63"/>
      <c r="N15" s="63"/>
      <c r="O15" s="63"/>
      <c r="P15" s="63"/>
      <c r="Q15" s="63"/>
      <c r="R15" s="63"/>
      <c r="S15" s="63"/>
      <c r="T15" s="63"/>
      <c r="U15" s="63"/>
    </row>
    <row r="16" spans="1:21" ht="15.75" thickBot="1" x14ac:dyDescent="0.3">
      <c r="A16" s="6" t="s">
        <v>89</v>
      </c>
      <c r="B16" s="6" t="s">
        <v>14</v>
      </c>
      <c r="C16" s="134" t="s">
        <v>73</v>
      </c>
      <c r="D16" s="11">
        <v>0</v>
      </c>
      <c r="E16" s="14">
        <v>0</v>
      </c>
      <c r="F16" s="57">
        <f t="shared" ref="F16:F25" si="0">D16*E16</f>
        <v>0</v>
      </c>
      <c r="G16" s="26">
        <v>0</v>
      </c>
      <c r="H16" s="14">
        <v>0</v>
      </c>
      <c r="I16" s="103">
        <f>G16*H16</f>
        <v>0</v>
      </c>
      <c r="J16" s="106">
        <v>0</v>
      </c>
      <c r="K16" s="128">
        <f>D16*J16</f>
        <v>0</v>
      </c>
      <c r="L16" s="110">
        <f>F16+I16+K16</f>
        <v>0</v>
      </c>
    </row>
    <row r="17" spans="1:21" ht="15.75" thickBot="1" x14ac:dyDescent="0.3">
      <c r="A17" s="6" t="s">
        <v>89</v>
      </c>
      <c r="B17" s="6" t="s">
        <v>14</v>
      </c>
      <c r="C17" s="135" t="s">
        <v>73</v>
      </c>
      <c r="D17" s="12">
        <v>0</v>
      </c>
      <c r="E17" s="15">
        <v>0</v>
      </c>
      <c r="F17" s="58">
        <f t="shared" si="0"/>
        <v>0</v>
      </c>
      <c r="G17" s="27">
        <v>0</v>
      </c>
      <c r="H17" s="15">
        <v>0</v>
      </c>
      <c r="I17" s="103">
        <f t="shared" ref="I17:I24" si="1">G17*H17</f>
        <v>0</v>
      </c>
      <c r="J17" s="107">
        <v>0</v>
      </c>
      <c r="K17" s="129">
        <f t="shared" ref="K17:K25" si="2">D17*J17</f>
        <v>0</v>
      </c>
      <c r="L17" s="111">
        <f t="shared" ref="L17:L26" si="3">F17+I17+K17</f>
        <v>0</v>
      </c>
    </row>
    <row r="18" spans="1:21" ht="15.75" thickBot="1" x14ac:dyDescent="0.3">
      <c r="A18" s="6" t="s">
        <v>89</v>
      </c>
      <c r="B18" s="6" t="s">
        <v>14</v>
      </c>
      <c r="C18" s="135"/>
      <c r="D18" s="12">
        <v>0</v>
      </c>
      <c r="E18" s="15">
        <v>0</v>
      </c>
      <c r="F18" s="58">
        <f t="shared" si="0"/>
        <v>0</v>
      </c>
      <c r="G18" s="27">
        <v>0</v>
      </c>
      <c r="H18" s="15">
        <v>0</v>
      </c>
      <c r="I18" s="103">
        <f t="shared" si="1"/>
        <v>0</v>
      </c>
      <c r="J18" s="107">
        <v>0</v>
      </c>
      <c r="K18" s="129">
        <f t="shared" si="2"/>
        <v>0</v>
      </c>
      <c r="L18" s="111">
        <f t="shared" si="3"/>
        <v>0</v>
      </c>
    </row>
    <row r="19" spans="1:21" ht="15.75" thickBot="1" x14ac:dyDescent="0.3">
      <c r="A19" s="136" t="s">
        <v>89</v>
      </c>
      <c r="B19" s="137" t="s">
        <v>14</v>
      </c>
      <c r="C19" s="77"/>
      <c r="D19" s="12">
        <v>0</v>
      </c>
      <c r="E19" s="15">
        <v>0</v>
      </c>
      <c r="F19" s="58">
        <f t="shared" si="0"/>
        <v>0</v>
      </c>
      <c r="G19" s="27">
        <v>0</v>
      </c>
      <c r="H19" s="15">
        <v>0</v>
      </c>
      <c r="I19" s="103">
        <f t="shared" si="1"/>
        <v>0</v>
      </c>
      <c r="J19" s="107">
        <v>0</v>
      </c>
      <c r="K19" s="129">
        <f t="shared" si="2"/>
        <v>0</v>
      </c>
      <c r="L19" s="111">
        <f t="shared" si="3"/>
        <v>0</v>
      </c>
    </row>
    <row r="20" spans="1:21" ht="15.75" thickBot="1" x14ac:dyDescent="0.3">
      <c r="A20" s="24" t="s">
        <v>12</v>
      </c>
      <c r="B20" s="6" t="s">
        <v>15</v>
      </c>
      <c r="C20" s="77"/>
      <c r="D20" s="12">
        <v>0</v>
      </c>
      <c r="E20" s="15">
        <v>0</v>
      </c>
      <c r="F20" s="58">
        <f t="shared" si="0"/>
        <v>0</v>
      </c>
      <c r="G20" s="27">
        <v>0</v>
      </c>
      <c r="H20" s="15">
        <v>0</v>
      </c>
      <c r="I20" s="103">
        <f t="shared" si="1"/>
        <v>0</v>
      </c>
      <c r="J20" s="107">
        <v>0</v>
      </c>
      <c r="K20" s="129">
        <f t="shared" si="2"/>
        <v>0</v>
      </c>
      <c r="L20" s="111">
        <f t="shared" si="3"/>
        <v>0</v>
      </c>
    </row>
    <row r="21" spans="1:21" ht="15.75" thickBot="1" x14ac:dyDescent="0.3">
      <c r="A21" s="24" t="s">
        <v>12</v>
      </c>
      <c r="B21" s="6" t="s">
        <v>15</v>
      </c>
      <c r="C21" s="77"/>
      <c r="D21" s="12">
        <v>0</v>
      </c>
      <c r="E21" s="15">
        <v>0</v>
      </c>
      <c r="F21" s="58">
        <f t="shared" si="0"/>
        <v>0</v>
      </c>
      <c r="G21" s="27">
        <v>0</v>
      </c>
      <c r="H21" s="15">
        <v>0</v>
      </c>
      <c r="I21" s="103">
        <f t="shared" si="1"/>
        <v>0</v>
      </c>
      <c r="J21" s="107">
        <v>0</v>
      </c>
      <c r="K21" s="129">
        <f t="shared" si="2"/>
        <v>0</v>
      </c>
      <c r="L21" s="111">
        <f t="shared" si="3"/>
        <v>0</v>
      </c>
    </row>
    <row r="22" spans="1:21" ht="15.75" thickBot="1" x14ac:dyDescent="0.3">
      <c r="A22" s="24"/>
      <c r="B22" s="6"/>
      <c r="C22" s="77"/>
      <c r="D22" s="12">
        <v>0</v>
      </c>
      <c r="E22" s="15">
        <v>0</v>
      </c>
      <c r="F22" s="58">
        <f t="shared" si="0"/>
        <v>0</v>
      </c>
      <c r="G22" s="101">
        <v>0</v>
      </c>
      <c r="H22" s="15">
        <v>0</v>
      </c>
      <c r="I22" s="103">
        <f t="shared" si="1"/>
        <v>0</v>
      </c>
      <c r="J22" s="107">
        <v>0</v>
      </c>
      <c r="K22" s="129">
        <f t="shared" si="2"/>
        <v>0</v>
      </c>
      <c r="L22" s="111">
        <f t="shared" si="3"/>
        <v>0</v>
      </c>
    </row>
    <row r="23" spans="1:21" ht="15.75" thickBot="1" x14ac:dyDescent="0.3">
      <c r="A23" s="24"/>
      <c r="B23" s="6"/>
      <c r="C23" s="77"/>
      <c r="D23" s="12">
        <v>0</v>
      </c>
      <c r="E23" s="15">
        <v>0</v>
      </c>
      <c r="F23" s="58">
        <f t="shared" si="0"/>
        <v>0</v>
      </c>
      <c r="G23" s="101">
        <v>0</v>
      </c>
      <c r="H23" s="15">
        <v>0</v>
      </c>
      <c r="I23" s="103">
        <f t="shared" si="1"/>
        <v>0</v>
      </c>
      <c r="J23" s="107">
        <v>0</v>
      </c>
      <c r="K23" s="129">
        <f t="shared" si="2"/>
        <v>0</v>
      </c>
      <c r="L23" s="111">
        <f t="shared" si="3"/>
        <v>0</v>
      </c>
    </row>
    <row r="24" spans="1:21" ht="15.75" thickBot="1" x14ac:dyDescent="0.3">
      <c r="A24" s="24"/>
      <c r="B24" s="6"/>
      <c r="C24" s="77"/>
      <c r="D24" s="12">
        <v>0</v>
      </c>
      <c r="E24" s="15">
        <v>0</v>
      </c>
      <c r="F24" s="58">
        <f t="shared" si="0"/>
        <v>0</v>
      </c>
      <c r="G24" s="101">
        <v>0</v>
      </c>
      <c r="H24" s="15">
        <v>0</v>
      </c>
      <c r="I24" s="103">
        <f t="shared" si="1"/>
        <v>0</v>
      </c>
      <c r="J24" s="107">
        <v>0</v>
      </c>
      <c r="K24" s="129">
        <f t="shared" si="2"/>
        <v>0</v>
      </c>
      <c r="L24" s="111">
        <f t="shared" si="3"/>
        <v>0</v>
      </c>
    </row>
    <row r="25" spans="1:21" ht="15.75" thickBot="1" x14ac:dyDescent="0.3">
      <c r="A25" s="24" t="s">
        <v>12</v>
      </c>
      <c r="B25" s="6" t="s">
        <v>74</v>
      </c>
      <c r="C25" s="77"/>
      <c r="D25" s="12">
        <v>0</v>
      </c>
      <c r="E25" s="15">
        <v>0</v>
      </c>
      <c r="F25" s="58">
        <f t="shared" si="0"/>
        <v>0</v>
      </c>
      <c r="G25" s="13">
        <v>0</v>
      </c>
      <c r="H25" s="15">
        <v>0</v>
      </c>
      <c r="I25" s="103">
        <v>0</v>
      </c>
      <c r="J25" s="107">
        <v>0</v>
      </c>
      <c r="K25" s="129">
        <f t="shared" si="2"/>
        <v>0</v>
      </c>
      <c r="L25" s="111">
        <f t="shared" si="3"/>
        <v>0</v>
      </c>
    </row>
    <row r="26" spans="1:21" ht="15.75" thickBot="1" x14ac:dyDescent="0.3">
      <c r="A26" s="25"/>
      <c r="B26" s="78"/>
      <c r="C26" s="79"/>
      <c r="D26" s="13"/>
      <c r="E26" s="16"/>
      <c r="F26" s="59"/>
      <c r="G26" s="22"/>
      <c r="H26" s="8"/>
      <c r="I26" s="104"/>
      <c r="J26" s="108"/>
      <c r="K26" s="130"/>
      <c r="L26" s="111">
        <f t="shared" si="3"/>
        <v>0</v>
      </c>
    </row>
    <row r="27" spans="1:21" ht="15.75" thickBot="1" x14ac:dyDescent="0.3">
      <c r="A27" s="164" t="s">
        <v>19</v>
      </c>
      <c r="B27" s="165"/>
      <c r="C27" s="166"/>
      <c r="D27" s="33"/>
      <c r="E27" s="34"/>
      <c r="F27" s="60"/>
      <c r="G27" s="35"/>
      <c r="H27" s="36"/>
      <c r="I27" s="105"/>
      <c r="J27" s="109"/>
      <c r="K27" s="113">
        <f>SUM(K16:K26)</f>
        <v>0</v>
      </c>
      <c r="L27" s="112">
        <f>SUM(L16:L26)</f>
        <v>0</v>
      </c>
    </row>
    <row r="28" spans="1:21" x14ac:dyDescent="0.25">
      <c r="A28" s="9"/>
      <c r="B28" s="9"/>
      <c r="C28" s="9"/>
      <c r="D28" s="10"/>
      <c r="E28" s="10"/>
      <c r="F28" s="10"/>
    </row>
    <row r="29" spans="1:21" s="1" customFormat="1" ht="15.75" x14ac:dyDescent="0.25">
      <c r="A29" s="2" t="s">
        <v>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62"/>
      <c r="N29" s="62"/>
      <c r="O29" s="62"/>
      <c r="P29" s="62"/>
      <c r="Q29" s="62"/>
      <c r="R29" s="62"/>
      <c r="S29" s="62"/>
      <c r="T29" s="62"/>
      <c r="U29" s="62"/>
    </row>
    <row r="30" spans="1:21" s="68" customFormat="1" ht="15.75" thickBot="1" x14ac:dyDescent="0.3">
      <c r="A30" s="66" t="s">
        <v>24</v>
      </c>
      <c r="B30" s="66" t="s">
        <v>26</v>
      </c>
      <c r="C30" s="66" t="s">
        <v>81</v>
      </c>
      <c r="D30" s="66" t="s">
        <v>78</v>
      </c>
      <c r="E30" s="66" t="s">
        <v>21</v>
      </c>
      <c r="F30" s="66" t="s">
        <v>76</v>
      </c>
      <c r="G30" s="66" t="s">
        <v>77</v>
      </c>
      <c r="H30" s="66" t="s">
        <v>79</v>
      </c>
      <c r="I30" s="66" t="s">
        <v>35</v>
      </c>
      <c r="J30" s="66" t="s">
        <v>62</v>
      </c>
      <c r="K30" s="66" t="s">
        <v>69</v>
      </c>
      <c r="L30" s="66" t="s">
        <v>63</v>
      </c>
      <c r="M30" s="67"/>
      <c r="N30" s="67"/>
      <c r="O30" s="67"/>
      <c r="P30" s="67"/>
      <c r="Q30" s="67"/>
      <c r="R30" s="67"/>
      <c r="S30" s="67"/>
      <c r="T30" s="67"/>
      <c r="U30" s="67"/>
    </row>
    <row r="31" spans="1:21" ht="15.75" thickBot="1" x14ac:dyDescent="0.3">
      <c r="A31" s="80" t="s">
        <v>75</v>
      </c>
      <c r="B31" s="81" t="s">
        <v>87</v>
      </c>
      <c r="C31" s="82" t="s">
        <v>86</v>
      </c>
      <c r="D31" s="29">
        <v>0</v>
      </c>
      <c r="E31" s="17">
        <v>0</v>
      </c>
      <c r="F31" s="74">
        <f>D31*E31</f>
        <v>0</v>
      </c>
      <c r="G31" s="29">
        <v>0</v>
      </c>
      <c r="H31" s="17">
        <v>0</v>
      </c>
      <c r="I31" s="71">
        <v>0</v>
      </c>
      <c r="J31" s="92" t="s">
        <v>71</v>
      </c>
      <c r="K31" s="131">
        <v>0</v>
      </c>
      <c r="L31" s="114">
        <f>F31+I31+K31</f>
        <v>0</v>
      </c>
    </row>
    <row r="32" spans="1:21" ht="15.75" thickBot="1" x14ac:dyDescent="0.3">
      <c r="A32" s="83" t="s">
        <v>80</v>
      </c>
      <c r="B32" s="28"/>
      <c r="C32" s="84"/>
      <c r="D32" s="30">
        <v>0</v>
      </c>
      <c r="E32" s="18">
        <v>0</v>
      </c>
      <c r="F32" s="74">
        <f t="shared" ref="F32:F35" si="4">D32*E32</f>
        <v>0</v>
      </c>
      <c r="G32" s="30">
        <v>0</v>
      </c>
      <c r="H32" s="18">
        <v>0</v>
      </c>
      <c r="I32" s="71">
        <f t="shared" ref="I32:I35" si="5">G32*H32</f>
        <v>0</v>
      </c>
      <c r="J32" s="83"/>
      <c r="K32" s="121">
        <v>0</v>
      </c>
      <c r="L32" s="114">
        <f t="shared" ref="L32:L34" si="6">F32+I32+K32</f>
        <v>0</v>
      </c>
    </row>
    <row r="33" spans="1:21" ht="15.75" thickBot="1" x14ac:dyDescent="0.3">
      <c r="A33" s="83" t="s">
        <v>80</v>
      </c>
      <c r="B33" s="28"/>
      <c r="C33" s="84"/>
      <c r="D33" s="30">
        <v>0</v>
      </c>
      <c r="E33" s="18">
        <v>0</v>
      </c>
      <c r="F33" s="74">
        <f t="shared" si="4"/>
        <v>0</v>
      </c>
      <c r="G33" s="30">
        <v>0</v>
      </c>
      <c r="H33" s="18">
        <v>0</v>
      </c>
      <c r="I33" s="71">
        <f t="shared" si="5"/>
        <v>0</v>
      </c>
      <c r="J33" s="83"/>
      <c r="K33" s="121">
        <v>0</v>
      </c>
      <c r="L33" s="114">
        <f t="shared" si="6"/>
        <v>0</v>
      </c>
    </row>
    <row r="34" spans="1:21" ht="15.75" thickBot="1" x14ac:dyDescent="0.3">
      <c r="A34" s="83"/>
      <c r="B34" s="28"/>
      <c r="C34" s="84"/>
      <c r="D34" s="30">
        <v>0</v>
      </c>
      <c r="E34" s="18">
        <v>0</v>
      </c>
      <c r="F34" s="74">
        <f t="shared" si="4"/>
        <v>0</v>
      </c>
      <c r="G34" s="30">
        <v>0</v>
      </c>
      <c r="H34" s="18">
        <v>0</v>
      </c>
      <c r="I34" s="71">
        <f t="shared" si="5"/>
        <v>0</v>
      </c>
      <c r="J34" s="83"/>
      <c r="K34" s="121">
        <v>0</v>
      </c>
      <c r="L34" s="114">
        <f t="shared" si="6"/>
        <v>0</v>
      </c>
    </row>
    <row r="35" spans="1:21" x14ac:dyDescent="0.25">
      <c r="A35" s="83"/>
      <c r="B35" s="28"/>
      <c r="C35" s="84"/>
      <c r="D35" s="30">
        <v>0</v>
      </c>
      <c r="E35" s="18">
        <v>0</v>
      </c>
      <c r="F35" s="74">
        <f t="shared" si="4"/>
        <v>0</v>
      </c>
      <c r="G35" s="30">
        <v>0</v>
      </c>
      <c r="H35" s="18">
        <v>0</v>
      </c>
      <c r="I35" s="71">
        <f t="shared" si="5"/>
        <v>0</v>
      </c>
      <c r="J35" s="83"/>
      <c r="K35" s="121">
        <v>0</v>
      </c>
      <c r="L35" s="114">
        <f>F35+I35+K35</f>
        <v>0</v>
      </c>
    </row>
    <row r="36" spans="1:21" ht="15.75" thickBot="1" x14ac:dyDescent="0.3">
      <c r="A36" s="167" t="s">
        <v>25</v>
      </c>
      <c r="B36" s="168"/>
      <c r="C36" s="169"/>
      <c r="D36" s="31">
        <f>SUM(D31:D35)</f>
        <v>0</v>
      </c>
      <c r="E36" s="31"/>
      <c r="F36" s="73">
        <f>SUM(F31:F35)</f>
        <v>0</v>
      </c>
      <c r="G36" s="31">
        <f>SUM(G31:G35)</f>
        <v>0</v>
      </c>
      <c r="H36" s="32"/>
      <c r="I36" s="72">
        <f>SUM(I31:I35)</f>
        <v>0</v>
      </c>
      <c r="J36" s="85"/>
      <c r="K36" s="126">
        <f>SUM(K31:K35)</f>
        <v>0</v>
      </c>
      <c r="L36" s="115">
        <f>SUM(L31:L35)</f>
        <v>0</v>
      </c>
    </row>
    <row r="37" spans="1:21" x14ac:dyDescent="0.25">
      <c r="A37" s="10"/>
      <c r="B37" s="10"/>
      <c r="C37" s="10"/>
      <c r="D37" s="10"/>
      <c r="E37" s="10"/>
      <c r="F37" s="10"/>
      <c r="G37" s="10"/>
      <c r="H37" s="10"/>
      <c r="I37" s="10"/>
      <c r="K37" s="127"/>
    </row>
    <row r="39" spans="1:21" s="1" customFormat="1" ht="15.75" x14ac:dyDescent="0.25">
      <c r="A39" s="2" t="s">
        <v>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62"/>
      <c r="N39" s="62"/>
      <c r="O39" s="62"/>
      <c r="P39" s="62"/>
      <c r="Q39" s="62"/>
      <c r="R39" s="62"/>
      <c r="S39" s="62"/>
      <c r="T39" s="62"/>
      <c r="U39" s="62"/>
    </row>
    <row r="40" spans="1:21" s="68" customFormat="1" ht="15.75" thickBot="1" x14ac:dyDescent="0.3">
      <c r="A40" s="66" t="s">
        <v>7</v>
      </c>
      <c r="B40" s="66" t="s">
        <v>29</v>
      </c>
      <c r="C40" s="158" t="s">
        <v>31</v>
      </c>
      <c r="D40" s="159"/>
      <c r="E40" s="159"/>
      <c r="F40" s="64" t="s">
        <v>37</v>
      </c>
      <c r="G40" s="39" t="s">
        <v>36</v>
      </c>
      <c r="H40" s="65" t="s">
        <v>32</v>
      </c>
      <c r="I40" s="66" t="s">
        <v>68</v>
      </c>
      <c r="J40" s="66" t="s">
        <v>64</v>
      </c>
      <c r="K40" s="66" t="s">
        <v>69</v>
      </c>
      <c r="L40" s="66" t="s">
        <v>65</v>
      </c>
      <c r="M40" s="67"/>
      <c r="N40" s="67"/>
      <c r="O40" s="67"/>
      <c r="P40" s="67"/>
      <c r="Q40" s="67"/>
      <c r="R40" s="67"/>
      <c r="S40" s="67"/>
      <c r="T40" s="67"/>
      <c r="U40" s="67"/>
    </row>
    <row r="41" spans="1:21" ht="16.5" thickBot="1" x14ac:dyDescent="0.3">
      <c r="A41" s="88" t="s">
        <v>27</v>
      </c>
      <c r="B41" s="81" t="s">
        <v>30</v>
      </c>
      <c r="C41" s="160" t="s">
        <v>88</v>
      </c>
      <c r="D41" s="161"/>
      <c r="E41" s="161"/>
      <c r="F41" s="40" t="s">
        <v>90</v>
      </c>
      <c r="G41" s="43">
        <v>0</v>
      </c>
      <c r="H41" s="37">
        <v>0</v>
      </c>
      <c r="I41" s="71">
        <f>G41*H41</f>
        <v>0</v>
      </c>
      <c r="J41" s="92" t="s">
        <v>71</v>
      </c>
      <c r="K41" s="119">
        <v>0</v>
      </c>
      <c r="L41" s="114">
        <f>I41+K41</f>
        <v>0</v>
      </c>
    </row>
    <row r="42" spans="1:21" ht="16.5" thickBot="1" x14ac:dyDescent="0.3">
      <c r="A42" s="89" t="s">
        <v>28</v>
      </c>
      <c r="B42" s="28"/>
      <c r="C42" s="162"/>
      <c r="D42" s="163"/>
      <c r="E42" s="163"/>
      <c r="F42" s="41"/>
      <c r="G42" s="44">
        <v>0</v>
      </c>
      <c r="H42" s="46">
        <v>0</v>
      </c>
      <c r="I42" s="71">
        <f t="shared" ref="I42:I45" si="7">G42*H42</f>
        <v>0</v>
      </c>
      <c r="J42" s="83"/>
      <c r="K42" s="120">
        <v>0</v>
      </c>
      <c r="L42" s="114">
        <f t="shared" ref="L42:L45" si="8">I42+K42</f>
        <v>0</v>
      </c>
    </row>
    <row r="43" spans="1:21" ht="16.5" thickBot="1" x14ac:dyDescent="0.3">
      <c r="A43" s="89" t="s">
        <v>28</v>
      </c>
      <c r="B43" s="28"/>
      <c r="C43" s="162"/>
      <c r="D43" s="163"/>
      <c r="E43" s="163"/>
      <c r="F43" s="41"/>
      <c r="G43" s="44">
        <v>0</v>
      </c>
      <c r="H43" s="46">
        <v>0</v>
      </c>
      <c r="I43" s="71">
        <f t="shared" si="7"/>
        <v>0</v>
      </c>
      <c r="J43" s="83"/>
      <c r="K43" s="120">
        <v>0</v>
      </c>
      <c r="L43" s="114">
        <f t="shared" si="8"/>
        <v>0</v>
      </c>
    </row>
    <row r="44" spans="1:21" ht="16.5" thickBot="1" x14ac:dyDescent="0.3">
      <c r="A44" s="89" t="s">
        <v>28</v>
      </c>
      <c r="B44" s="28"/>
      <c r="C44" s="162"/>
      <c r="D44" s="163"/>
      <c r="E44" s="163"/>
      <c r="F44" s="41"/>
      <c r="G44" s="44">
        <v>0</v>
      </c>
      <c r="H44" s="46">
        <v>0</v>
      </c>
      <c r="I44" s="71">
        <f t="shared" si="7"/>
        <v>0</v>
      </c>
      <c r="J44" s="83"/>
      <c r="K44" s="120">
        <v>0</v>
      </c>
      <c r="L44" s="114">
        <f t="shared" si="8"/>
        <v>0</v>
      </c>
    </row>
    <row r="45" spans="1:21" ht="16.5" thickBot="1" x14ac:dyDescent="0.3">
      <c r="A45" s="89" t="s">
        <v>28</v>
      </c>
      <c r="B45" s="28"/>
      <c r="C45" s="162"/>
      <c r="D45" s="163"/>
      <c r="E45" s="163"/>
      <c r="F45" s="41"/>
      <c r="G45" s="44">
        <v>0</v>
      </c>
      <c r="H45" s="46">
        <v>0</v>
      </c>
      <c r="I45" s="71">
        <f t="shared" si="7"/>
        <v>0</v>
      </c>
      <c r="J45" s="83"/>
      <c r="K45" s="120">
        <v>0</v>
      </c>
      <c r="L45" s="114">
        <f t="shared" si="8"/>
        <v>0</v>
      </c>
    </row>
    <row r="46" spans="1:21" ht="16.5" thickBot="1" x14ac:dyDescent="0.3">
      <c r="A46" s="140" t="s">
        <v>25</v>
      </c>
      <c r="B46" s="141"/>
      <c r="C46" s="141"/>
      <c r="D46" s="141"/>
      <c r="E46" s="141"/>
      <c r="F46" s="42"/>
      <c r="G46" s="45"/>
      <c r="H46" s="38"/>
      <c r="I46" s="97">
        <f>SUM(I41:I45)</f>
        <v>0</v>
      </c>
      <c r="J46" s="85"/>
      <c r="K46" s="132">
        <f>SUM(K41:K45)</f>
        <v>0</v>
      </c>
      <c r="L46" s="115">
        <f>SUM(L41:L45)</f>
        <v>0</v>
      </c>
    </row>
    <row r="49" spans="1:21" s="1" customFormat="1" ht="15.75" x14ac:dyDescent="0.25">
      <c r="A49" s="2" t="s">
        <v>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62"/>
      <c r="N49" s="62"/>
      <c r="O49" s="62"/>
      <c r="P49" s="62"/>
      <c r="Q49" s="62"/>
      <c r="R49" s="62"/>
      <c r="S49" s="62"/>
      <c r="T49" s="62"/>
      <c r="U49" s="62"/>
    </row>
    <row r="50" spans="1:21" s="68" customFormat="1" ht="15.75" thickBot="1" x14ac:dyDescent="0.3">
      <c r="A50" s="66" t="s">
        <v>39</v>
      </c>
      <c r="B50" s="66" t="s">
        <v>42</v>
      </c>
      <c r="C50" s="66" t="s">
        <v>43</v>
      </c>
      <c r="D50" s="66" t="s">
        <v>44</v>
      </c>
      <c r="E50" s="66" t="s">
        <v>48</v>
      </c>
      <c r="F50" s="66" t="s">
        <v>45</v>
      </c>
      <c r="G50" s="66" t="s">
        <v>46</v>
      </c>
      <c r="H50" s="66" t="s">
        <v>47</v>
      </c>
      <c r="I50" s="66" t="s">
        <v>20</v>
      </c>
      <c r="J50" s="66" t="s">
        <v>66</v>
      </c>
      <c r="K50" s="66" t="s">
        <v>69</v>
      </c>
      <c r="L50" s="66" t="s">
        <v>67</v>
      </c>
      <c r="M50" s="67"/>
      <c r="N50" s="67"/>
      <c r="O50" s="67"/>
      <c r="P50" s="67"/>
      <c r="Q50" s="67"/>
      <c r="R50" s="67"/>
      <c r="S50" s="67"/>
      <c r="T50" s="67"/>
      <c r="U50" s="67"/>
    </row>
    <row r="51" spans="1:21" ht="15.75" thickBot="1" x14ac:dyDescent="0.3">
      <c r="A51" s="80" t="s">
        <v>40</v>
      </c>
      <c r="B51" s="81" t="s">
        <v>71</v>
      </c>
      <c r="C51" s="81" t="s">
        <v>71</v>
      </c>
      <c r="D51" s="90" t="s">
        <v>71</v>
      </c>
      <c r="E51" s="91" t="s">
        <v>71</v>
      </c>
      <c r="F51" s="17">
        <v>0</v>
      </c>
      <c r="G51" s="17">
        <v>0</v>
      </c>
      <c r="H51" s="50">
        <v>0</v>
      </c>
      <c r="I51" s="69">
        <f>F51+G51+H51</f>
        <v>0</v>
      </c>
      <c r="J51" s="99"/>
      <c r="K51" s="98">
        <v>0</v>
      </c>
      <c r="L51" s="116">
        <f>I51+K51</f>
        <v>0</v>
      </c>
    </row>
    <row r="52" spans="1:21" ht="15.75" thickBot="1" x14ac:dyDescent="0.3">
      <c r="A52" s="83" t="s">
        <v>41</v>
      </c>
      <c r="B52" s="28"/>
      <c r="C52" s="28"/>
      <c r="D52" s="28"/>
      <c r="E52" s="84"/>
      <c r="F52" s="18">
        <v>0</v>
      </c>
      <c r="G52" s="18">
        <v>0</v>
      </c>
      <c r="H52" s="51">
        <v>0</v>
      </c>
      <c r="I52" s="69">
        <f t="shared" ref="I52:I56" si="9">F52+G52+H52</f>
        <v>0</v>
      </c>
      <c r="J52" s="83"/>
      <c r="K52" s="93">
        <v>0</v>
      </c>
      <c r="L52" s="116">
        <f t="shared" ref="L52:L53" si="10">I52+K52</f>
        <v>0</v>
      </c>
    </row>
    <row r="53" spans="1:21" ht="15.75" thickBot="1" x14ac:dyDescent="0.3">
      <c r="A53" s="83" t="s">
        <v>40</v>
      </c>
      <c r="B53" s="28"/>
      <c r="C53" s="28"/>
      <c r="D53" s="28"/>
      <c r="E53" s="84"/>
      <c r="F53" s="18">
        <v>0</v>
      </c>
      <c r="G53" s="18">
        <v>0</v>
      </c>
      <c r="H53" s="51">
        <v>0</v>
      </c>
      <c r="I53" s="69">
        <f t="shared" si="9"/>
        <v>0</v>
      </c>
      <c r="J53" s="83"/>
      <c r="K53" s="93">
        <v>0</v>
      </c>
      <c r="L53" s="116">
        <f t="shared" si="10"/>
        <v>0</v>
      </c>
    </row>
    <row r="54" spans="1:21" ht="15.75" thickBot="1" x14ac:dyDescent="0.3">
      <c r="A54" s="83" t="s">
        <v>40</v>
      </c>
      <c r="B54" s="28"/>
      <c r="C54" s="28"/>
      <c r="D54" s="28"/>
      <c r="E54" s="84"/>
      <c r="F54" s="18">
        <v>0</v>
      </c>
      <c r="G54" s="18">
        <v>0</v>
      </c>
      <c r="H54" s="51">
        <v>0</v>
      </c>
      <c r="I54" s="69">
        <f t="shared" si="9"/>
        <v>0</v>
      </c>
      <c r="J54" s="83"/>
      <c r="K54" s="93">
        <v>0</v>
      </c>
      <c r="L54" s="116">
        <f t="shared" ref="L54:L56" si="11">I54+K54</f>
        <v>0</v>
      </c>
    </row>
    <row r="55" spans="1:21" ht="15.75" thickBot="1" x14ac:dyDescent="0.3">
      <c r="A55" s="83" t="s">
        <v>40</v>
      </c>
      <c r="B55" s="28"/>
      <c r="C55" s="28"/>
      <c r="D55" s="28"/>
      <c r="E55" s="84"/>
      <c r="F55" s="18">
        <v>0</v>
      </c>
      <c r="G55" s="18">
        <v>0</v>
      </c>
      <c r="H55" s="51">
        <v>0</v>
      </c>
      <c r="I55" s="69">
        <f t="shared" si="9"/>
        <v>0</v>
      </c>
      <c r="J55" s="83"/>
      <c r="K55" s="93">
        <v>0</v>
      </c>
      <c r="L55" s="116">
        <f t="shared" si="11"/>
        <v>0</v>
      </c>
    </row>
    <row r="56" spans="1:21" ht="15.75" thickBot="1" x14ac:dyDescent="0.3">
      <c r="A56" s="85"/>
      <c r="B56" s="86"/>
      <c r="C56" s="86"/>
      <c r="D56" s="86"/>
      <c r="E56" s="87"/>
      <c r="F56" s="19">
        <v>0</v>
      </c>
      <c r="G56" s="19">
        <v>0</v>
      </c>
      <c r="H56" s="52">
        <v>0</v>
      </c>
      <c r="I56" s="69">
        <f t="shared" si="9"/>
        <v>0</v>
      </c>
      <c r="J56" s="85"/>
      <c r="K56" s="100">
        <v>0</v>
      </c>
      <c r="L56" s="116">
        <f t="shared" si="11"/>
        <v>0</v>
      </c>
    </row>
    <row r="57" spans="1:21" x14ac:dyDescent="0.25">
      <c r="A57" s="49"/>
      <c r="B57" s="49"/>
      <c r="C57" s="49"/>
      <c r="D57" s="49"/>
      <c r="E57" s="49"/>
      <c r="F57" s="48"/>
      <c r="G57" s="49"/>
      <c r="H57" s="53"/>
      <c r="I57" s="70"/>
      <c r="J57" s="49"/>
      <c r="K57" s="48"/>
      <c r="L57" s="117"/>
    </row>
    <row r="58" spans="1:21" s="1" customFormat="1" x14ac:dyDescent="0.25">
      <c r="A58" s="146" t="s">
        <v>19</v>
      </c>
      <c r="B58" s="147"/>
      <c r="C58" s="147"/>
      <c r="D58" s="147"/>
      <c r="E58" s="148"/>
      <c r="F58" s="47">
        <f>SUM(F51:F57)</f>
        <v>0</v>
      </c>
      <c r="G58" s="47">
        <f>SUM(G51:G57)</f>
        <v>0</v>
      </c>
      <c r="H58" s="47">
        <f>SUM(H51:H57)</f>
        <v>0</v>
      </c>
      <c r="I58" s="47">
        <f>SUM(I51:I57)</f>
        <v>0</v>
      </c>
      <c r="J58" s="47"/>
      <c r="K58" s="133">
        <f>SUM(K51:K57)</f>
        <v>0</v>
      </c>
      <c r="L58" s="118">
        <f>SUM(L51:L57)</f>
        <v>0</v>
      </c>
    </row>
    <row r="59" spans="1:21" x14ac:dyDescent="0.25">
      <c r="A59" s="1"/>
      <c r="B59" s="1"/>
      <c r="C59" s="1"/>
      <c r="D59" s="1"/>
      <c r="E59" s="1"/>
    </row>
    <row r="61" spans="1:21" x14ac:dyDescent="0.25">
      <c r="A61" s="125" t="s">
        <v>82</v>
      </c>
    </row>
  </sheetData>
  <mergeCells count="23">
    <mergeCell ref="C45:E45"/>
    <mergeCell ref="A27:C27"/>
    <mergeCell ref="A36:C36"/>
    <mergeCell ref="B7:C7"/>
    <mergeCell ref="F1:J4"/>
    <mergeCell ref="E5:K6"/>
    <mergeCell ref="E7:K7"/>
    <mergeCell ref="B8:C8"/>
    <mergeCell ref="A46:E46"/>
    <mergeCell ref="A12:L12"/>
    <mergeCell ref="A1:C1"/>
    <mergeCell ref="A58:E58"/>
    <mergeCell ref="A13:L13"/>
    <mergeCell ref="B2:C2"/>
    <mergeCell ref="B3:C3"/>
    <mergeCell ref="B4:C4"/>
    <mergeCell ref="B5:C5"/>
    <mergeCell ref="B6:C6"/>
    <mergeCell ref="C40:E40"/>
    <mergeCell ref="C41:E41"/>
    <mergeCell ref="C42:E42"/>
    <mergeCell ref="C43:E43"/>
    <mergeCell ref="C44:E44"/>
  </mergeCells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1D4EE-60B9-42B7-9609-BBF6947B0810}">
  <dimension ref="A1:U60"/>
  <sheetViews>
    <sheetView workbookViewId="0">
      <selection activeCell="G5" sqref="G5"/>
    </sheetView>
  </sheetViews>
  <sheetFormatPr defaultRowHeight="15" x14ac:dyDescent="0.25"/>
  <cols>
    <col min="1" max="1" width="25.5703125" customWidth="1"/>
    <col min="2" max="2" width="23.140625" customWidth="1"/>
    <col min="3" max="3" width="12.5703125" customWidth="1"/>
    <col min="4" max="4" width="14.7109375" customWidth="1"/>
    <col min="5" max="5" width="12.85546875" customWidth="1"/>
    <col min="6" max="6" width="15.42578125" customWidth="1"/>
    <col min="7" max="7" width="13.7109375" customWidth="1"/>
    <col min="8" max="8" width="12.85546875" customWidth="1"/>
    <col min="9" max="9" width="12.5703125" customWidth="1"/>
    <col min="10" max="10" width="20.28515625" customWidth="1"/>
    <col min="11" max="11" width="15.42578125" customWidth="1"/>
    <col min="12" max="12" width="21" customWidth="1"/>
  </cols>
  <sheetData>
    <row r="1" spans="1:21" ht="15.75" x14ac:dyDescent="0.25">
      <c r="A1" s="144" t="s">
        <v>59</v>
      </c>
      <c r="B1" s="145"/>
      <c r="C1" s="145"/>
      <c r="D1" s="7"/>
    </row>
    <row r="2" spans="1:21" x14ac:dyDescent="0.25">
      <c r="A2" s="21" t="s">
        <v>2</v>
      </c>
      <c r="B2" s="152" t="s">
        <v>54</v>
      </c>
      <c r="C2" s="153"/>
      <c r="K2" s="124"/>
    </row>
    <row r="3" spans="1:21" x14ac:dyDescent="0.25">
      <c r="A3" s="20" t="s">
        <v>1</v>
      </c>
      <c r="B3" s="154" t="s">
        <v>55</v>
      </c>
      <c r="C3" s="155"/>
      <c r="D3" s="55"/>
      <c r="K3" s="124"/>
    </row>
    <row r="4" spans="1:21" x14ac:dyDescent="0.25">
      <c r="A4" s="20" t="s">
        <v>3</v>
      </c>
      <c r="B4" s="154" t="s">
        <v>56</v>
      </c>
      <c r="C4" s="155"/>
      <c r="D4" s="55"/>
      <c r="K4" s="124"/>
    </row>
    <row r="5" spans="1:21" x14ac:dyDescent="0.25">
      <c r="A5" s="20" t="s">
        <v>0</v>
      </c>
      <c r="B5" s="154" t="s">
        <v>57</v>
      </c>
      <c r="C5" s="155"/>
      <c r="D5" s="55"/>
      <c r="K5" s="124"/>
    </row>
    <row r="6" spans="1:21" x14ac:dyDescent="0.25">
      <c r="A6" s="20" t="s">
        <v>18</v>
      </c>
      <c r="B6" s="156" t="s">
        <v>58</v>
      </c>
      <c r="C6" s="157"/>
      <c r="D6" s="55"/>
      <c r="K6" s="124"/>
    </row>
    <row r="7" spans="1:21" x14ac:dyDescent="0.25">
      <c r="A7" s="123" t="s">
        <v>51</v>
      </c>
      <c r="B7" s="170">
        <f>L26+L35+L45+L57</f>
        <v>0</v>
      </c>
      <c r="C7" s="171"/>
      <c r="D7" s="55"/>
    </row>
    <row r="8" spans="1:21" x14ac:dyDescent="0.25">
      <c r="A8" s="122" t="s">
        <v>4</v>
      </c>
      <c r="B8" s="138">
        <f>K26+K35+K45+K57</f>
        <v>0</v>
      </c>
      <c r="C8" s="139"/>
      <c r="D8" s="56" t="s">
        <v>71</v>
      </c>
    </row>
    <row r="9" spans="1:21" s="96" customFormat="1" x14ac:dyDescent="0.25">
      <c r="A9" s="61"/>
      <c r="B9" s="94"/>
      <c r="C9" s="95"/>
      <c r="D9" s="56"/>
    </row>
    <row r="10" spans="1:21" ht="11.25" customHeight="1" x14ac:dyDescent="0.25">
      <c r="A10" s="61"/>
      <c r="B10" s="9"/>
      <c r="C10" s="9"/>
      <c r="D10" s="56"/>
    </row>
    <row r="11" spans="1:21" s="96" customFormat="1" ht="21.75" customHeight="1" x14ac:dyDescent="0.25">
      <c r="A11" s="142" t="s">
        <v>72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</row>
    <row r="12" spans="1:21" x14ac:dyDescent="0.25">
      <c r="A12" s="149" t="s">
        <v>70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1"/>
    </row>
    <row r="13" spans="1:21" s="1" customFormat="1" ht="15.75" x14ac:dyDescent="0.25">
      <c r="A13" s="2" t="s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62"/>
      <c r="N13" s="62"/>
      <c r="O13" s="62"/>
      <c r="P13" s="62"/>
      <c r="Q13" s="62"/>
      <c r="R13" s="62"/>
      <c r="S13" s="62"/>
      <c r="T13" s="62"/>
      <c r="U13" s="62"/>
    </row>
    <row r="14" spans="1:21" s="5" customFormat="1" ht="16.5" thickBot="1" x14ac:dyDescent="0.3">
      <c r="A14" s="4" t="s">
        <v>5</v>
      </c>
      <c r="B14" s="4" t="s">
        <v>13</v>
      </c>
      <c r="C14" s="4" t="s">
        <v>16</v>
      </c>
      <c r="D14" s="4" t="s">
        <v>17</v>
      </c>
      <c r="E14" s="54" t="s">
        <v>21</v>
      </c>
      <c r="F14" s="4" t="s">
        <v>33</v>
      </c>
      <c r="G14" s="4" t="s">
        <v>23</v>
      </c>
      <c r="H14" s="4" t="s">
        <v>22</v>
      </c>
      <c r="I14" s="4" t="s">
        <v>34</v>
      </c>
      <c r="J14" s="4" t="s">
        <v>61</v>
      </c>
      <c r="K14" s="4" t="s">
        <v>60</v>
      </c>
      <c r="L14" s="4" t="s">
        <v>53</v>
      </c>
      <c r="M14" s="63"/>
      <c r="N14" s="63"/>
      <c r="O14" s="63"/>
      <c r="P14" s="63"/>
      <c r="Q14" s="63"/>
      <c r="R14" s="63"/>
      <c r="S14" s="63"/>
      <c r="T14" s="63"/>
      <c r="U14" s="63"/>
    </row>
    <row r="15" spans="1:21" ht="15.75" thickBot="1" x14ac:dyDescent="0.3">
      <c r="A15" s="23" t="s">
        <v>11</v>
      </c>
      <c r="B15" s="75" t="s">
        <v>14</v>
      </c>
      <c r="C15" s="76" t="s">
        <v>73</v>
      </c>
      <c r="D15" s="11">
        <v>0</v>
      </c>
      <c r="E15" s="14">
        <v>0</v>
      </c>
      <c r="F15" s="57">
        <f t="shared" ref="F15:F24" si="0">D15*E15</f>
        <v>0</v>
      </c>
      <c r="G15" s="26">
        <v>0</v>
      </c>
      <c r="H15" s="14">
        <v>0</v>
      </c>
      <c r="I15" s="103">
        <f>G15*H15</f>
        <v>0</v>
      </c>
      <c r="J15" s="106">
        <v>0</v>
      </c>
      <c r="K15" s="128">
        <f>D15*J15</f>
        <v>0</v>
      </c>
      <c r="L15" s="110">
        <f>F15+I15+K15</f>
        <v>0</v>
      </c>
    </row>
    <row r="16" spans="1:21" ht="15.75" thickBot="1" x14ac:dyDescent="0.3">
      <c r="A16" s="24" t="s">
        <v>11</v>
      </c>
      <c r="B16" s="6" t="s">
        <v>14</v>
      </c>
      <c r="C16" s="77" t="s">
        <v>73</v>
      </c>
      <c r="D16" s="12">
        <v>0</v>
      </c>
      <c r="E16" s="15">
        <v>0</v>
      </c>
      <c r="F16" s="58">
        <f t="shared" si="0"/>
        <v>0</v>
      </c>
      <c r="G16" s="27">
        <v>0</v>
      </c>
      <c r="H16" s="15">
        <v>0</v>
      </c>
      <c r="I16" s="103">
        <f t="shared" ref="I16:I24" si="1">G16*H16</f>
        <v>0</v>
      </c>
      <c r="J16" s="107">
        <v>0</v>
      </c>
      <c r="K16" s="129">
        <f t="shared" ref="K16:K24" si="2">D16*J16</f>
        <v>0</v>
      </c>
      <c r="L16" s="111">
        <f t="shared" ref="L16:L25" si="3">F16+I16+K16</f>
        <v>0</v>
      </c>
    </row>
    <row r="17" spans="1:21" ht="15.75" thickBot="1" x14ac:dyDescent="0.3">
      <c r="A17" s="24" t="s">
        <v>11</v>
      </c>
      <c r="B17" s="6" t="s">
        <v>14</v>
      </c>
      <c r="C17" s="77"/>
      <c r="D17" s="12">
        <v>0</v>
      </c>
      <c r="E17" s="15">
        <v>0</v>
      </c>
      <c r="F17" s="58">
        <f t="shared" si="0"/>
        <v>0</v>
      </c>
      <c r="G17" s="27">
        <v>0</v>
      </c>
      <c r="H17" s="15">
        <v>0</v>
      </c>
      <c r="I17" s="103">
        <f t="shared" si="1"/>
        <v>0</v>
      </c>
      <c r="J17" s="107">
        <v>0</v>
      </c>
      <c r="K17" s="129">
        <f t="shared" si="2"/>
        <v>0</v>
      </c>
      <c r="L17" s="111">
        <f t="shared" si="3"/>
        <v>0</v>
      </c>
    </row>
    <row r="18" spans="1:21" ht="15.75" thickBot="1" x14ac:dyDescent="0.3">
      <c r="A18" s="24" t="s">
        <v>11</v>
      </c>
      <c r="B18" s="6" t="s">
        <v>14</v>
      </c>
      <c r="C18" s="77"/>
      <c r="D18" s="12">
        <v>0</v>
      </c>
      <c r="E18" s="15">
        <v>0</v>
      </c>
      <c r="F18" s="58">
        <f t="shared" si="0"/>
        <v>0</v>
      </c>
      <c r="G18" s="27">
        <v>0</v>
      </c>
      <c r="H18" s="15">
        <v>0</v>
      </c>
      <c r="I18" s="103">
        <f t="shared" si="1"/>
        <v>0</v>
      </c>
      <c r="J18" s="107">
        <v>0</v>
      </c>
      <c r="K18" s="129">
        <f t="shared" si="2"/>
        <v>0</v>
      </c>
      <c r="L18" s="111">
        <f t="shared" si="3"/>
        <v>0</v>
      </c>
    </row>
    <row r="19" spans="1:21" ht="15.75" thickBot="1" x14ac:dyDescent="0.3">
      <c r="A19" s="24" t="s">
        <v>12</v>
      </c>
      <c r="B19" s="6" t="s">
        <v>15</v>
      </c>
      <c r="C19" s="77"/>
      <c r="D19" s="12">
        <v>0</v>
      </c>
      <c r="E19" s="15">
        <v>0</v>
      </c>
      <c r="F19" s="58">
        <f t="shared" si="0"/>
        <v>0</v>
      </c>
      <c r="G19" s="27">
        <v>0</v>
      </c>
      <c r="H19" s="15">
        <v>0</v>
      </c>
      <c r="I19" s="103">
        <f t="shared" si="1"/>
        <v>0</v>
      </c>
      <c r="J19" s="107">
        <v>0</v>
      </c>
      <c r="K19" s="129">
        <f t="shared" si="2"/>
        <v>0</v>
      </c>
      <c r="L19" s="111">
        <f t="shared" si="3"/>
        <v>0</v>
      </c>
    </row>
    <row r="20" spans="1:21" ht="15.75" thickBot="1" x14ac:dyDescent="0.3">
      <c r="A20" s="24" t="s">
        <v>12</v>
      </c>
      <c r="B20" s="6" t="s">
        <v>15</v>
      </c>
      <c r="C20" s="77"/>
      <c r="D20" s="12">
        <v>0</v>
      </c>
      <c r="E20" s="15">
        <v>0</v>
      </c>
      <c r="F20" s="58">
        <f t="shared" si="0"/>
        <v>0</v>
      </c>
      <c r="G20" s="27">
        <v>0</v>
      </c>
      <c r="H20" s="15">
        <v>0</v>
      </c>
      <c r="I20" s="103">
        <f t="shared" si="1"/>
        <v>0</v>
      </c>
      <c r="J20" s="107">
        <v>0</v>
      </c>
      <c r="K20" s="129">
        <f t="shared" si="2"/>
        <v>0</v>
      </c>
      <c r="L20" s="111">
        <f t="shared" si="3"/>
        <v>0</v>
      </c>
    </row>
    <row r="21" spans="1:21" ht="15.75" thickBot="1" x14ac:dyDescent="0.3">
      <c r="A21" s="24"/>
      <c r="B21" s="6"/>
      <c r="C21" s="77"/>
      <c r="D21" s="12">
        <v>0</v>
      </c>
      <c r="E21" s="15">
        <v>0</v>
      </c>
      <c r="F21" s="58">
        <f t="shared" si="0"/>
        <v>0</v>
      </c>
      <c r="G21" s="101">
        <v>0</v>
      </c>
      <c r="H21" s="15">
        <v>0</v>
      </c>
      <c r="I21" s="103">
        <f t="shared" si="1"/>
        <v>0</v>
      </c>
      <c r="J21" s="107">
        <v>0</v>
      </c>
      <c r="K21" s="129">
        <f t="shared" si="2"/>
        <v>0</v>
      </c>
      <c r="L21" s="111">
        <f t="shared" si="3"/>
        <v>0</v>
      </c>
    </row>
    <row r="22" spans="1:21" ht="15.75" thickBot="1" x14ac:dyDescent="0.3">
      <c r="A22" s="24"/>
      <c r="B22" s="6"/>
      <c r="C22" s="77"/>
      <c r="D22" s="12">
        <v>0</v>
      </c>
      <c r="E22" s="15">
        <v>0</v>
      </c>
      <c r="F22" s="58">
        <f t="shared" si="0"/>
        <v>0</v>
      </c>
      <c r="G22" s="101">
        <v>0</v>
      </c>
      <c r="H22" s="15">
        <v>0</v>
      </c>
      <c r="I22" s="103">
        <f t="shared" si="1"/>
        <v>0</v>
      </c>
      <c r="J22" s="107">
        <v>0</v>
      </c>
      <c r="K22" s="129">
        <f t="shared" si="2"/>
        <v>0</v>
      </c>
      <c r="L22" s="111">
        <f t="shared" si="3"/>
        <v>0</v>
      </c>
    </row>
    <row r="23" spans="1:21" ht="15.75" thickBot="1" x14ac:dyDescent="0.3">
      <c r="A23" s="24"/>
      <c r="B23" s="6"/>
      <c r="C23" s="77"/>
      <c r="D23" s="12">
        <v>0</v>
      </c>
      <c r="E23" s="15">
        <v>0</v>
      </c>
      <c r="F23" s="58">
        <f t="shared" si="0"/>
        <v>0</v>
      </c>
      <c r="G23" s="101">
        <v>0</v>
      </c>
      <c r="H23" s="15">
        <v>0</v>
      </c>
      <c r="I23" s="103">
        <f t="shared" si="1"/>
        <v>0</v>
      </c>
      <c r="J23" s="107">
        <v>0</v>
      </c>
      <c r="K23" s="129">
        <f t="shared" si="2"/>
        <v>0</v>
      </c>
      <c r="L23" s="111">
        <f t="shared" si="3"/>
        <v>0</v>
      </c>
    </row>
    <row r="24" spans="1:21" ht="15.75" thickBot="1" x14ac:dyDescent="0.3">
      <c r="A24" s="24" t="s">
        <v>12</v>
      </c>
      <c r="B24" s="6" t="s">
        <v>74</v>
      </c>
      <c r="C24" s="77"/>
      <c r="D24" s="12">
        <v>0</v>
      </c>
      <c r="E24" s="15">
        <v>0</v>
      </c>
      <c r="F24" s="58">
        <f t="shared" si="0"/>
        <v>0</v>
      </c>
      <c r="G24" s="13">
        <v>0</v>
      </c>
      <c r="H24" s="15">
        <v>0</v>
      </c>
      <c r="I24" s="103">
        <f t="shared" si="1"/>
        <v>0</v>
      </c>
      <c r="J24" s="107">
        <v>0</v>
      </c>
      <c r="K24" s="129">
        <f t="shared" si="2"/>
        <v>0</v>
      </c>
      <c r="L24" s="111">
        <f t="shared" si="3"/>
        <v>0</v>
      </c>
    </row>
    <row r="25" spans="1:21" ht="15.75" thickBot="1" x14ac:dyDescent="0.3">
      <c r="A25" s="25"/>
      <c r="B25" s="78"/>
      <c r="C25" s="79"/>
      <c r="D25" s="13"/>
      <c r="E25" s="16"/>
      <c r="F25" s="59"/>
      <c r="G25" s="22"/>
      <c r="H25" s="8"/>
      <c r="I25" s="104"/>
      <c r="J25" s="108"/>
      <c r="K25" s="130"/>
      <c r="L25" s="111">
        <f t="shared" si="3"/>
        <v>0</v>
      </c>
    </row>
    <row r="26" spans="1:21" ht="15.75" thickBot="1" x14ac:dyDescent="0.3">
      <c r="A26" s="164" t="s">
        <v>19</v>
      </c>
      <c r="B26" s="165"/>
      <c r="C26" s="166"/>
      <c r="D26" s="33"/>
      <c r="E26" s="34"/>
      <c r="F26" s="60"/>
      <c r="G26" s="35"/>
      <c r="H26" s="36"/>
      <c r="I26" s="105"/>
      <c r="J26" s="109"/>
      <c r="K26" s="113">
        <f>SUM(K15:K25)</f>
        <v>0</v>
      </c>
      <c r="L26" s="112">
        <f>SUM(L15:L25)</f>
        <v>0</v>
      </c>
    </row>
    <row r="27" spans="1:21" x14ac:dyDescent="0.25">
      <c r="A27" s="9"/>
      <c r="B27" s="9"/>
      <c r="C27" s="9"/>
      <c r="D27" s="10"/>
      <c r="E27" s="10"/>
      <c r="F27" s="10"/>
    </row>
    <row r="28" spans="1:21" s="1" customFormat="1" ht="15.75" x14ac:dyDescent="0.25">
      <c r="A28" s="2" t="s">
        <v>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62"/>
      <c r="N28" s="62"/>
      <c r="O28" s="62"/>
      <c r="P28" s="62"/>
      <c r="Q28" s="62"/>
      <c r="R28" s="62"/>
      <c r="S28" s="62"/>
      <c r="T28" s="62"/>
      <c r="U28" s="62"/>
    </row>
    <row r="29" spans="1:21" s="68" customFormat="1" ht="15.75" thickBot="1" x14ac:dyDescent="0.3">
      <c r="A29" s="102" t="s">
        <v>24</v>
      </c>
      <c r="B29" s="102" t="s">
        <v>26</v>
      </c>
      <c r="C29" s="102" t="s">
        <v>81</v>
      </c>
      <c r="D29" s="102" t="s">
        <v>78</v>
      </c>
      <c r="E29" s="102" t="s">
        <v>21</v>
      </c>
      <c r="F29" s="102" t="s">
        <v>76</v>
      </c>
      <c r="G29" s="102" t="s">
        <v>77</v>
      </c>
      <c r="H29" s="102" t="s">
        <v>79</v>
      </c>
      <c r="I29" s="102" t="s">
        <v>35</v>
      </c>
      <c r="J29" s="102" t="s">
        <v>62</v>
      </c>
      <c r="K29" s="102" t="s">
        <v>69</v>
      </c>
      <c r="L29" s="102" t="s">
        <v>63</v>
      </c>
      <c r="M29" s="67"/>
      <c r="N29" s="67"/>
      <c r="O29" s="67"/>
      <c r="P29" s="67"/>
      <c r="Q29" s="67"/>
      <c r="R29" s="67"/>
      <c r="S29" s="67"/>
      <c r="T29" s="67"/>
      <c r="U29" s="67"/>
    </row>
    <row r="30" spans="1:21" ht="15.75" thickBot="1" x14ac:dyDescent="0.3">
      <c r="A30" s="80" t="s">
        <v>80</v>
      </c>
      <c r="B30" s="81"/>
      <c r="C30" s="82"/>
      <c r="D30" s="29">
        <v>0</v>
      </c>
      <c r="E30" s="17">
        <v>0</v>
      </c>
      <c r="F30" s="74">
        <f>D30*E30</f>
        <v>0</v>
      </c>
      <c r="G30" s="29">
        <v>0</v>
      </c>
      <c r="H30" s="17">
        <v>0</v>
      </c>
      <c r="I30" s="71">
        <v>0</v>
      </c>
      <c r="J30" s="92" t="s">
        <v>71</v>
      </c>
      <c r="K30" s="131">
        <v>0</v>
      </c>
      <c r="L30" s="114">
        <f>F30+I30+K30</f>
        <v>0</v>
      </c>
    </row>
    <row r="31" spans="1:21" ht="15.75" thickBot="1" x14ac:dyDescent="0.3">
      <c r="A31" s="83" t="s">
        <v>80</v>
      </c>
      <c r="B31" s="28"/>
      <c r="C31" s="84"/>
      <c r="D31" s="30">
        <v>0</v>
      </c>
      <c r="E31" s="18">
        <v>0</v>
      </c>
      <c r="F31" s="74">
        <f t="shared" ref="F31:F34" si="4">D31*E31</f>
        <v>0</v>
      </c>
      <c r="G31" s="30">
        <v>0</v>
      </c>
      <c r="H31" s="18">
        <v>0</v>
      </c>
      <c r="I31" s="71">
        <f t="shared" ref="I31:I34" si="5">G31*H31</f>
        <v>0</v>
      </c>
      <c r="J31" s="83"/>
      <c r="K31" s="121">
        <v>0</v>
      </c>
      <c r="L31" s="114">
        <f t="shared" ref="L31:L33" si="6">F31+I31+K31</f>
        <v>0</v>
      </c>
    </row>
    <row r="32" spans="1:21" ht="15.75" thickBot="1" x14ac:dyDescent="0.3">
      <c r="A32" s="83" t="s">
        <v>80</v>
      </c>
      <c r="B32" s="28"/>
      <c r="C32" s="84"/>
      <c r="D32" s="30">
        <v>0</v>
      </c>
      <c r="E32" s="18">
        <v>0</v>
      </c>
      <c r="F32" s="74">
        <f t="shared" si="4"/>
        <v>0</v>
      </c>
      <c r="G32" s="30">
        <v>0</v>
      </c>
      <c r="H32" s="18">
        <v>0</v>
      </c>
      <c r="I32" s="71">
        <f t="shared" si="5"/>
        <v>0</v>
      </c>
      <c r="J32" s="83"/>
      <c r="K32" s="121">
        <v>0</v>
      </c>
      <c r="L32" s="114">
        <f t="shared" si="6"/>
        <v>0</v>
      </c>
    </row>
    <row r="33" spans="1:21" ht="15.75" thickBot="1" x14ac:dyDescent="0.3">
      <c r="A33" s="83"/>
      <c r="B33" s="28"/>
      <c r="C33" s="84"/>
      <c r="D33" s="30">
        <v>0</v>
      </c>
      <c r="E33" s="18">
        <v>0</v>
      </c>
      <c r="F33" s="74">
        <f t="shared" si="4"/>
        <v>0</v>
      </c>
      <c r="G33" s="30">
        <v>0</v>
      </c>
      <c r="H33" s="18">
        <v>0</v>
      </c>
      <c r="I33" s="71">
        <f t="shared" si="5"/>
        <v>0</v>
      </c>
      <c r="J33" s="83"/>
      <c r="K33" s="121">
        <v>0</v>
      </c>
      <c r="L33" s="114">
        <f t="shared" si="6"/>
        <v>0</v>
      </c>
    </row>
    <row r="34" spans="1:21" x14ac:dyDescent="0.25">
      <c r="A34" s="83"/>
      <c r="B34" s="28"/>
      <c r="C34" s="84"/>
      <c r="D34" s="30">
        <v>0</v>
      </c>
      <c r="E34" s="18">
        <v>0</v>
      </c>
      <c r="F34" s="74">
        <f t="shared" si="4"/>
        <v>0</v>
      </c>
      <c r="G34" s="30">
        <v>0</v>
      </c>
      <c r="H34" s="18">
        <v>0</v>
      </c>
      <c r="I34" s="71">
        <f t="shared" si="5"/>
        <v>0</v>
      </c>
      <c r="J34" s="83"/>
      <c r="K34" s="121">
        <v>0</v>
      </c>
      <c r="L34" s="114">
        <f>F34+I34+K34</f>
        <v>0</v>
      </c>
    </row>
    <row r="35" spans="1:21" ht="15.75" thickBot="1" x14ac:dyDescent="0.3">
      <c r="A35" s="167" t="s">
        <v>25</v>
      </c>
      <c r="B35" s="168"/>
      <c r="C35" s="169"/>
      <c r="D35" s="31">
        <f>SUM(D30:D34)</f>
        <v>0</v>
      </c>
      <c r="E35" s="31"/>
      <c r="F35" s="73">
        <f>SUM(F30:F34)</f>
        <v>0</v>
      </c>
      <c r="G35" s="31">
        <f>SUM(G30:G34)</f>
        <v>0</v>
      </c>
      <c r="H35" s="32"/>
      <c r="I35" s="72">
        <f>SUM(I30:I34)</f>
        <v>0</v>
      </c>
      <c r="J35" s="85"/>
      <c r="K35" s="126">
        <f>SUM(K30:K34)</f>
        <v>0</v>
      </c>
      <c r="L35" s="115">
        <f>SUM(L30:L34)</f>
        <v>0</v>
      </c>
    </row>
    <row r="36" spans="1:21" x14ac:dyDescent="0.25">
      <c r="A36" s="10"/>
      <c r="B36" s="10"/>
      <c r="C36" s="10"/>
      <c r="D36" s="10"/>
      <c r="E36" s="10"/>
      <c r="F36" s="10"/>
      <c r="G36" s="10"/>
      <c r="H36" s="10"/>
      <c r="I36" s="10"/>
      <c r="K36" s="127"/>
    </row>
    <row r="38" spans="1:21" s="1" customFormat="1" ht="15.75" x14ac:dyDescent="0.25">
      <c r="A38" s="2" t="s">
        <v>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62"/>
      <c r="N38" s="62"/>
      <c r="O38" s="62"/>
      <c r="P38" s="62"/>
      <c r="Q38" s="62"/>
      <c r="R38" s="62"/>
      <c r="S38" s="62"/>
      <c r="T38" s="62"/>
      <c r="U38" s="62"/>
    </row>
    <row r="39" spans="1:21" s="68" customFormat="1" ht="15.75" thickBot="1" x14ac:dyDescent="0.3">
      <c r="A39" s="102" t="s">
        <v>7</v>
      </c>
      <c r="B39" s="102" t="s">
        <v>29</v>
      </c>
      <c r="C39" s="158" t="s">
        <v>31</v>
      </c>
      <c r="D39" s="159"/>
      <c r="E39" s="159"/>
      <c r="F39" s="64" t="s">
        <v>37</v>
      </c>
      <c r="G39" s="39" t="s">
        <v>36</v>
      </c>
      <c r="H39" s="65" t="s">
        <v>32</v>
      </c>
      <c r="I39" s="102" t="s">
        <v>68</v>
      </c>
      <c r="J39" s="102" t="s">
        <v>64</v>
      </c>
      <c r="K39" s="102" t="s">
        <v>69</v>
      </c>
      <c r="L39" s="102" t="s">
        <v>65</v>
      </c>
      <c r="M39" s="67"/>
      <c r="N39" s="67"/>
      <c r="O39" s="67"/>
      <c r="P39" s="67"/>
      <c r="Q39" s="67"/>
      <c r="R39" s="67"/>
      <c r="S39" s="67"/>
      <c r="T39" s="67"/>
      <c r="U39" s="67"/>
    </row>
    <row r="40" spans="1:21" ht="16.5" thickBot="1" x14ac:dyDescent="0.3">
      <c r="A40" s="88" t="s">
        <v>27</v>
      </c>
      <c r="B40" s="81" t="s">
        <v>30</v>
      </c>
      <c r="C40" s="160"/>
      <c r="D40" s="161"/>
      <c r="E40" s="161"/>
      <c r="F40" s="40" t="s">
        <v>38</v>
      </c>
      <c r="G40" s="43">
        <v>0</v>
      </c>
      <c r="H40" s="37">
        <v>0</v>
      </c>
      <c r="I40" s="71">
        <f>G40*H40</f>
        <v>0</v>
      </c>
      <c r="J40" s="92" t="s">
        <v>71</v>
      </c>
      <c r="K40" s="119">
        <v>0</v>
      </c>
      <c r="L40" s="114">
        <f>I40+K40</f>
        <v>0</v>
      </c>
    </row>
    <row r="41" spans="1:21" ht="16.5" thickBot="1" x14ac:dyDescent="0.3">
      <c r="A41" s="89" t="s">
        <v>28</v>
      </c>
      <c r="B41" s="28"/>
      <c r="C41" s="162"/>
      <c r="D41" s="163"/>
      <c r="E41" s="163"/>
      <c r="F41" s="41"/>
      <c r="G41" s="44">
        <v>0</v>
      </c>
      <c r="H41" s="46">
        <v>0</v>
      </c>
      <c r="I41" s="71">
        <f t="shared" ref="I41:I44" si="7">G41*H41</f>
        <v>0</v>
      </c>
      <c r="J41" s="83"/>
      <c r="K41" s="120">
        <v>0</v>
      </c>
      <c r="L41" s="114">
        <f t="shared" ref="L41:L44" si="8">I41+K41</f>
        <v>0</v>
      </c>
    </row>
    <row r="42" spans="1:21" ht="16.5" thickBot="1" x14ac:dyDescent="0.3">
      <c r="A42" s="89" t="s">
        <v>28</v>
      </c>
      <c r="B42" s="28"/>
      <c r="C42" s="162"/>
      <c r="D42" s="163"/>
      <c r="E42" s="163"/>
      <c r="F42" s="41"/>
      <c r="G42" s="44">
        <v>0</v>
      </c>
      <c r="H42" s="46">
        <v>0</v>
      </c>
      <c r="I42" s="71">
        <f t="shared" si="7"/>
        <v>0</v>
      </c>
      <c r="J42" s="83"/>
      <c r="K42" s="120">
        <v>0</v>
      </c>
      <c r="L42" s="114">
        <f t="shared" si="8"/>
        <v>0</v>
      </c>
    </row>
    <row r="43" spans="1:21" ht="16.5" thickBot="1" x14ac:dyDescent="0.3">
      <c r="A43" s="89" t="s">
        <v>28</v>
      </c>
      <c r="B43" s="28"/>
      <c r="C43" s="162"/>
      <c r="D43" s="163"/>
      <c r="E43" s="163"/>
      <c r="F43" s="41"/>
      <c r="G43" s="44">
        <v>0</v>
      </c>
      <c r="H43" s="46">
        <v>0</v>
      </c>
      <c r="I43" s="71">
        <f t="shared" si="7"/>
        <v>0</v>
      </c>
      <c r="J43" s="83"/>
      <c r="K43" s="120">
        <v>0</v>
      </c>
      <c r="L43" s="114">
        <f t="shared" si="8"/>
        <v>0</v>
      </c>
    </row>
    <row r="44" spans="1:21" ht="16.5" thickBot="1" x14ac:dyDescent="0.3">
      <c r="A44" s="89" t="s">
        <v>28</v>
      </c>
      <c r="B44" s="28"/>
      <c r="C44" s="162"/>
      <c r="D44" s="163"/>
      <c r="E44" s="163"/>
      <c r="F44" s="41"/>
      <c r="G44" s="44">
        <v>0</v>
      </c>
      <c r="H44" s="46">
        <v>0</v>
      </c>
      <c r="I44" s="71">
        <f t="shared" si="7"/>
        <v>0</v>
      </c>
      <c r="J44" s="83"/>
      <c r="K44" s="120">
        <v>0</v>
      </c>
      <c r="L44" s="114">
        <f t="shared" si="8"/>
        <v>0</v>
      </c>
    </row>
    <row r="45" spans="1:21" ht="16.5" thickBot="1" x14ac:dyDescent="0.3">
      <c r="A45" s="140" t="s">
        <v>25</v>
      </c>
      <c r="B45" s="141"/>
      <c r="C45" s="141"/>
      <c r="D45" s="141"/>
      <c r="E45" s="141"/>
      <c r="F45" s="42"/>
      <c r="G45" s="45"/>
      <c r="H45" s="38"/>
      <c r="I45" s="97">
        <f>SUM(I40:I44)</f>
        <v>0</v>
      </c>
      <c r="J45" s="85"/>
      <c r="K45" s="132">
        <f>SUM(K40:K44)</f>
        <v>0</v>
      </c>
      <c r="L45" s="115">
        <f>SUM(L40:L44)</f>
        <v>0</v>
      </c>
    </row>
    <row r="48" spans="1:21" s="1" customFormat="1" ht="15.75" x14ac:dyDescent="0.25">
      <c r="A48" s="2" t="s">
        <v>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62"/>
      <c r="N48" s="62"/>
      <c r="O48" s="62"/>
      <c r="P48" s="62"/>
      <c r="Q48" s="62"/>
      <c r="R48" s="62"/>
      <c r="S48" s="62"/>
      <c r="T48" s="62"/>
      <c r="U48" s="62"/>
    </row>
    <row r="49" spans="1:21" s="68" customFormat="1" ht="15.75" thickBot="1" x14ac:dyDescent="0.3">
      <c r="A49" s="102" t="s">
        <v>39</v>
      </c>
      <c r="B49" s="102" t="s">
        <v>42</v>
      </c>
      <c r="C49" s="102" t="s">
        <v>43</v>
      </c>
      <c r="D49" s="102" t="s">
        <v>44</v>
      </c>
      <c r="E49" s="102" t="s">
        <v>48</v>
      </c>
      <c r="F49" s="102" t="s">
        <v>45</v>
      </c>
      <c r="G49" s="102" t="s">
        <v>46</v>
      </c>
      <c r="H49" s="102" t="s">
        <v>47</v>
      </c>
      <c r="I49" s="102" t="s">
        <v>20</v>
      </c>
      <c r="J49" s="102" t="s">
        <v>66</v>
      </c>
      <c r="K49" s="102" t="s">
        <v>69</v>
      </c>
      <c r="L49" s="102" t="s">
        <v>67</v>
      </c>
      <c r="M49" s="67"/>
      <c r="N49" s="67"/>
      <c r="O49" s="67"/>
      <c r="P49" s="67"/>
      <c r="Q49" s="67"/>
      <c r="R49" s="67"/>
      <c r="S49" s="67"/>
      <c r="T49" s="67"/>
      <c r="U49" s="67"/>
    </row>
    <row r="50" spans="1:21" ht="15.75" thickBot="1" x14ac:dyDescent="0.3">
      <c r="A50" s="80" t="s">
        <v>40</v>
      </c>
      <c r="B50" s="81" t="s">
        <v>49</v>
      </c>
      <c r="C50" s="81" t="s">
        <v>50</v>
      </c>
      <c r="D50" s="90">
        <v>44429</v>
      </c>
      <c r="E50" s="91">
        <v>44432</v>
      </c>
      <c r="F50" s="17">
        <v>0</v>
      </c>
      <c r="G50" s="17">
        <v>0</v>
      </c>
      <c r="H50" s="50">
        <v>0</v>
      </c>
      <c r="I50" s="69">
        <f>F50+G50+H50</f>
        <v>0</v>
      </c>
      <c r="J50" s="99"/>
      <c r="K50" s="98">
        <v>0</v>
      </c>
      <c r="L50" s="116">
        <f>I50+K50</f>
        <v>0</v>
      </c>
    </row>
    <row r="51" spans="1:21" ht="15.75" thickBot="1" x14ac:dyDescent="0.3">
      <c r="A51" s="83" t="s">
        <v>41</v>
      </c>
      <c r="B51" s="28"/>
      <c r="C51" s="28"/>
      <c r="D51" s="28"/>
      <c r="E51" s="84"/>
      <c r="F51" s="18">
        <v>0</v>
      </c>
      <c r="G51" s="18">
        <v>0</v>
      </c>
      <c r="H51" s="51">
        <v>0</v>
      </c>
      <c r="I51" s="69">
        <f t="shared" ref="I51:I55" si="9">F51+G51+H51</f>
        <v>0</v>
      </c>
      <c r="J51" s="83"/>
      <c r="K51" s="93">
        <v>0</v>
      </c>
      <c r="L51" s="116">
        <f t="shared" ref="L51:L55" si="10">I51+K51</f>
        <v>0</v>
      </c>
    </row>
    <row r="52" spans="1:21" ht="15.75" thickBot="1" x14ac:dyDescent="0.3">
      <c r="A52" s="83" t="s">
        <v>40</v>
      </c>
      <c r="B52" s="28"/>
      <c r="C52" s="28"/>
      <c r="D52" s="28"/>
      <c r="E52" s="84"/>
      <c r="F52" s="18">
        <v>0</v>
      </c>
      <c r="G52" s="18">
        <v>0</v>
      </c>
      <c r="H52" s="51">
        <v>0</v>
      </c>
      <c r="I52" s="69">
        <f t="shared" si="9"/>
        <v>0</v>
      </c>
      <c r="J52" s="83"/>
      <c r="K52" s="93">
        <v>0</v>
      </c>
      <c r="L52" s="116">
        <f t="shared" si="10"/>
        <v>0</v>
      </c>
    </row>
    <row r="53" spans="1:21" ht="15.75" thickBot="1" x14ac:dyDescent="0.3">
      <c r="A53" s="83" t="s">
        <v>40</v>
      </c>
      <c r="B53" s="28"/>
      <c r="C53" s="28"/>
      <c r="D53" s="28"/>
      <c r="E53" s="84"/>
      <c r="F53" s="18">
        <v>0</v>
      </c>
      <c r="G53" s="18">
        <v>0</v>
      </c>
      <c r="H53" s="51">
        <v>0</v>
      </c>
      <c r="I53" s="69">
        <f t="shared" si="9"/>
        <v>0</v>
      </c>
      <c r="J53" s="83"/>
      <c r="K53" s="93">
        <v>0</v>
      </c>
      <c r="L53" s="116">
        <f t="shared" si="10"/>
        <v>0</v>
      </c>
    </row>
    <row r="54" spans="1:21" ht="15.75" thickBot="1" x14ac:dyDescent="0.3">
      <c r="A54" s="83" t="s">
        <v>40</v>
      </c>
      <c r="B54" s="28"/>
      <c r="C54" s="28"/>
      <c r="D54" s="28"/>
      <c r="E54" s="84"/>
      <c r="F54" s="18">
        <v>0</v>
      </c>
      <c r="G54" s="18">
        <v>0</v>
      </c>
      <c r="H54" s="51">
        <v>0</v>
      </c>
      <c r="I54" s="69">
        <f t="shared" si="9"/>
        <v>0</v>
      </c>
      <c r="J54" s="83"/>
      <c r="K54" s="93">
        <v>0</v>
      </c>
      <c r="L54" s="116">
        <f t="shared" si="10"/>
        <v>0</v>
      </c>
    </row>
    <row r="55" spans="1:21" ht="15.75" thickBot="1" x14ac:dyDescent="0.3">
      <c r="A55" s="85"/>
      <c r="B55" s="86"/>
      <c r="C55" s="86"/>
      <c r="D55" s="86"/>
      <c r="E55" s="87"/>
      <c r="F55" s="19">
        <v>0</v>
      </c>
      <c r="G55" s="19">
        <v>0</v>
      </c>
      <c r="H55" s="52">
        <v>0</v>
      </c>
      <c r="I55" s="69">
        <f t="shared" si="9"/>
        <v>0</v>
      </c>
      <c r="J55" s="85"/>
      <c r="K55" s="100">
        <v>0</v>
      </c>
      <c r="L55" s="116">
        <f t="shared" si="10"/>
        <v>0</v>
      </c>
    </row>
    <row r="56" spans="1:21" x14ac:dyDescent="0.25">
      <c r="A56" s="49"/>
      <c r="B56" s="49"/>
      <c r="C56" s="49"/>
      <c r="D56" s="49"/>
      <c r="E56" s="49"/>
      <c r="F56" s="48"/>
      <c r="G56" s="49"/>
      <c r="H56" s="53"/>
      <c r="I56" s="70"/>
      <c r="J56" s="49"/>
      <c r="K56" s="48"/>
      <c r="L56" s="117"/>
    </row>
    <row r="57" spans="1:21" s="1" customFormat="1" x14ac:dyDescent="0.25">
      <c r="A57" s="146" t="s">
        <v>19</v>
      </c>
      <c r="B57" s="147"/>
      <c r="C57" s="147"/>
      <c r="D57" s="147"/>
      <c r="E57" s="148"/>
      <c r="F57" s="47">
        <f>SUM(F50:F56)</f>
        <v>0</v>
      </c>
      <c r="G57" s="47">
        <f>SUM(G50:G56)</f>
        <v>0</v>
      </c>
      <c r="H57" s="47">
        <f>SUM(H50:H56)</f>
        <v>0</v>
      </c>
      <c r="I57" s="47">
        <f>SUM(I50:I56)</f>
        <v>0</v>
      </c>
      <c r="J57" s="47"/>
      <c r="K57" s="133">
        <f>SUM(K50:K56)</f>
        <v>0</v>
      </c>
      <c r="L57" s="118">
        <f>SUM(L50:L56)</f>
        <v>0</v>
      </c>
    </row>
    <row r="58" spans="1:21" x14ac:dyDescent="0.25">
      <c r="A58" s="1"/>
      <c r="B58" s="1"/>
      <c r="C58" s="1"/>
      <c r="D58" s="1"/>
      <c r="E58" s="1"/>
    </row>
    <row r="60" spans="1:21" x14ac:dyDescent="0.25">
      <c r="A60" s="125" t="s">
        <v>82</v>
      </c>
    </row>
  </sheetData>
  <mergeCells count="20">
    <mergeCell ref="C42:E42"/>
    <mergeCell ref="C43:E43"/>
    <mergeCell ref="C44:E44"/>
    <mergeCell ref="A45:E45"/>
    <mergeCell ref="A57:E57"/>
    <mergeCell ref="A1:C1"/>
    <mergeCell ref="B2:C2"/>
    <mergeCell ref="B3:C3"/>
    <mergeCell ref="B4:C4"/>
    <mergeCell ref="B5:C5"/>
    <mergeCell ref="B6:C6"/>
    <mergeCell ref="B7:C7"/>
    <mergeCell ref="B8:C8"/>
    <mergeCell ref="A11:L11"/>
    <mergeCell ref="A12:L12"/>
    <mergeCell ref="A26:C26"/>
    <mergeCell ref="A35:C35"/>
    <mergeCell ref="C39:E39"/>
    <mergeCell ref="C40:E40"/>
    <mergeCell ref="C41:E4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0767-DD9A-4FE6-BD45-F21BDF5777A5}">
  <dimension ref="A1:U60"/>
  <sheetViews>
    <sheetView workbookViewId="0">
      <selection activeCell="G5" sqref="G5"/>
    </sheetView>
  </sheetViews>
  <sheetFormatPr defaultRowHeight="15" x14ac:dyDescent="0.25"/>
  <cols>
    <col min="1" max="1" width="25.5703125" customWidth="1"/>
    <col min="2" max="2" width="23.140625" customWidth="1"/>
    <col min="3" max="3" width="12.5703125" customWidth="1"/>
    <col min="4" max="4" width="14.7109375" customWidth="1"/>
    <col min="5" max="5" width="12.85546875" customWidth="1"/>
    <col min="6" max="6" width="15.42578125" customWidth="1"/>
    <col min="7" max="7" width="13.7109375" customWidth="1"/>
    <col min="8" max="8" width="12.85546875" customWidth="1"/>
    <col min="9" max="9" width="12.5703125" customWidth="1"/>
    <col min="10" max="10" width="20.28515625" customWidth="1"/>
    <col min="11" max="11" width="15.42578125" customWidth="1"/>
    <col min="12" max="12" width="21" customWidth="1"/>
  </cols>
  <sheetData>
    <row r="1" spans="1:21" ht="15.75" x14ac:dyDescent="0.25">
      <c r="A1" s="144" t="s">
        <v>59</v>
      </c>
      <c r="B1" s="145"/>
      <c r="C1" s="145"/>
      <c r="D1" s="7"/>
    </row>
    <row r="2" spans="1:21" x14ac:dyDescent="0.25">
      <c r="A2" s="21" t="s">
        <v>2</v>
      </c>
      <c r="B2" s="152" t="s">
        <v>54</v>
      </c>
      <c r="C2" s="153"/>
      <c r="K2" s="124"/>
    </row>
    <row r="3" spans="1:21" x14ac:dyDescent="0.25">
      <c r="A3" s="20" t="s">
        <v>1</v>
      </c>
      <c r="B3" s="154" t="s">
        <v>55</v>
      </c>
      <c r="C3" s="155"/>
      <c r="D3" s="55"/>
      <c r="K3" s="124"/>
    </row>
    <row r="4" spans="1:21" x14ac:dyDescent="0.25">
      <c r="A4" s="20" t="s">
        <v>3</v>
      </c>
      <c r="B4" s="154" t="s">
        <v>56</v>
      </c>
      <c r="C4" s="155"/>
      <c r="D4" s="55"/>
      <c r="K4" s="124"/>
    </row>
    <row r="5" spans="1:21" x14ac:dyDescent="0.25">
      <c r="A5" s="20" t="s">
        <v>0</v>
      </c>
      <c r="B5" s="154" t="s">
        <v>57</v>
      </c>
      <c r="C5" s="155"/>
      <c r="D5" s="55"/>
      <c r="K5" s="124"/>
    </row>
    <row r="6" spans="1:21" x14ac:dyDescent="0.25">
      <c r="A6" s="20" t="s">
        <v>18</v>
      </c>
      <c r="B6" s="156" t="s">
        <v>58</v>
      </c>
      <c r="C6" s="157"/>
      <c r="D6" s="55"/>
      <c r="K6" s="124"/>
    </row>
    <row r="7" spans="1:21" x14ac:dyDescent="0.25">
      <c r="A7" s="123" t="s">
        <v>51</v>
      </c>
      <c r="B7" s="170">
        <f>L26+L35+L45+L57</f>
        <v>0</v>
      </c>
      <c r="C7" s="171"/>
      <c r="D7" s="55"/>
    </row>
    <row r="8" spans="1:21" x14ac:dyDescent="0.25">
      <c r="A8" s="122" t="s">
        <v>4</v>
      </c>
      <c r="B8" s="138">
        <f>K26+K35+K45+K57</f>
        <v>0</v>
      </c>
      <c r="C8" s="139"/>
      <c r="D8" s="56" t="s">
        <v>71</v>
      </c>
    </row>
    <row r="9" spans="1:21" s="96" customFormat="1" x14ac:dyDescent="0.25">
      <c r="A9" s="61"/>
      <c r="B9" s="94"/>
      <c r="C9" s="95"/>
      <c r="D9" s="56"/>
    </row>
    <row r="10" spans="1:21" ht="11.25" customHeight="1" x14ac:dyDescent="0.25">
      <c r="A10" s="61"/>
      <c r="B10" s="9"/>
      <c r="C10" s="9"/>
      <c r="D10" s="56"/>
    </row>
    <row r="11" spans="1:21" s="96" customFormat="1" ht="21.75" customHeight="1" x14ac:dyDescent="0.25">
      <c r="A11" s="142" t="s">
        <v>72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</row>
    <row r="12" spans="1:21" x14ac:dyDescent="0.25">
      <c r="A12" s="149" t="s">
        <v>83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1"/>
    </row>
    <row r="13" spans="1:21" s="1" customFormat="1" ht="15.75" x14ac:dyDescent="0.25">
      <c r="A13" s="2" t="s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62"/>
      <c r="N13" s="62"/>
      <c r="O13" s="62"/>
      <c r="P13" s="62"/>
      <c r="Q13" s="62"/>
      <c r="R13" s="62"/>
      <c r="S13" s="62"/>
      <c r="T13" s="62"/>
      <c r="U13" s="62"/>
    </row>
    <row r="14" spans="1:21" s="5" customFormat="1" ht="16.5" thickBot="1" x14ac:dyDescent="0.3">
      <c r="A14" s="4" t="s">
        <v>5</v>
      </c>
      <c r="B14" s="4" t="s">
        <v>13</v>
      </c>
      <c r="C14" s="4" t="s">
        <v>16</v>
      </c>
      <c r="D14" s="4" t="s">
        <v>17</v>
      </c>
      <c r="E14" s="54" t="s">
        <v>21</v>
      </c>
      <c r="F14" s="4" t="s">
        <v>33</v>
      </c>
      <c r="G14" s="4" t="s">
        <v>23</v>
      </c>
      <c r="H14" s="4" t="s">
        <v>22</v>
      </c>
      <c r="I14" s="4" t="s">
        <v>34</v>
      </c>
      <c r="J14" s="4" t="s">
        <v>61</v>
      </c>
      <c r="K14" s="4" t="s">
        <v>60</v>
      </c>
      <c r="L14" s="4" t="s">
        <v>53</v>
      </c>
      <c r="M14" s="63"/>
      <c r="N14" s="63"/>
      <c r="O14" s="63"/>
      <c r="P14" s="63"/>
      <c r="Q14" s="63"/>
      <c r="R14" s="63"/>
      <c r="S14" s="63"/>
      <c r="T14" s="63"/>
      <c r="U14" s="63"/>
    </row>
    <row r="15" spans="1:21" ht="15.75" thickBot="1" x14ac:dyDescent="0.3">
      <c r="A15" s="23" t="s">
        <v>11</v>
      </c>
      <c r="B15" s="75" t="s">
        <v>14</v>
      </c>
      <c r="C15" s="76" t="s">
        <v>73</v>
      </c>
      <c r="D15" s="11">
        <v>0</v>
      </c>
      <c r="E15" s="14">
        <v>0</v>
      </c>
      <c r="F15" s="57">
        <f t="shared" ref="F15:F24" si="0">D15*E15</f>
        <v>0</v>
      </c>
      <c r="G15" s="26">
        <v>0</v>
      </c>
      <c r="H15" s="14">
        <v>0</v>
      </c>
      <c r="I15" s="103">
        <f>G15*H15</f>
        <v>0</v>
      </c>
      <c r="J15" s="106">
        <v>0</v>
      </c>
      <c r="K15" s="128">
        <f>D15*J15</f>
        <v>0</v>
      </c>
      <c r="L15" s="110">
        <f>F15+I15+K15</f>
        <v>0</v>
      </c>
    </row>
    <row r="16" spans="1:21" ht="15.75" thickBot="1" x14ac:dyDescent="0.3">
      <c r="A16" s="24" t="s">
        <v>11</v>
      </c>
      <c r="B16" s="6" t="s">
        <v>14</v>
      </c>
      <c r="C16" s="77" t="s">
        <v>73</v>
      </c>
      <c r="D16" s="12">
        <v>0</v>
      </c>
      <c r="E16" s="15">
        <v>0</v>
      </c>
      <c r="F16" s="58">
        <f t="shared" si="0"/>
        <v>0</v>
      </c>
      <c r="G16" s="27">
        <v>0</v>
      </c>
      <c r="H16" s="15">
        <v>0</v>
      </c>
      <c r="I16" s="103">
        <f t="shared" ref="I16:I24" si="1">G16*H16</f>
        <v>0</v>
      </c>
      <c r="J16" s="107">
        <v>0</v>
      </c>
      <c r="K16" s="129">
        <f t="shared" ref="K16:K24" si="2">D16*J16</f>
        <v>0</v>
      </c>
      <c r="L16" s="111">
        <f t="shared" ref="L16:L25" si="3">F16+I16+K16</f>
        <v>0</v>
      </c>
    </row>
    <row r="17" spans="1:21" ht="15.75" thickBot="1" x14ac:dyDescent="0.3">
      <c r="A17" s="24" t="s">
        <v>11</v>
      </c>
      <c r="B17" s="6" t="s">
        <v>14</v>
      </c>
      <c r="C17" s="77"/>
      <c r="D17" s="12">
        <v>0</v>
      </c>
      <c r="E17" s="15">
        <v>0</v>
      </c>
      <c r="F17" s="58">
        <f t="shared" si="0"/>
        <v>0</v>
      </c>
      <c r="G17" s="27">
        <v>0</v>
      </c>
      <c r="H17" s="15">
        <v>0</v>
      </c>
      <c r="I17" s="103">
        <f t="shared" si="1"/>
        <v>0</v>
      </c>
      <c r="J17" s="107">
        <v>0</v>
      </c>
      <c r="K17" s="129">
        <f t="shared" si="2"/>
        <v>0</v>
      </c>
      <c r="L17" s="111">
        <f t="shared" si="3"/>
        <v>0</v>
      </c>
    </row>
    <row r="18" spans="1:21" ht="15.75" thickBot="1" x14ac:dyDescent="0.3">
      <c r="A18" s="24" t="s">
        <v>11</v>
      </c>
      <c r="B18" s="6" t="s">
        <v>14</v>
      </c>
      <c r="C18" s="77"/>
      <c r="D18" s="12">
        <v>0</v>
      </c>
      <c r="E18" s="15">
        <v>0</v>
      </c>
      <c r="F18" s="58">
        <f t="shared" si="0"/>
        <v>0</v>
      </c>
      <c r="G18" s="27">
        <v>0</v>
      </c>
      <c r="H18" s="15">
        <v>0</v>
      </c>
      <c r="I18" s="103">
        <f t="shared" si="1"/>
        <v>0</v>
      </c>
      <c r="J18" s="107">
        <v>0</v>
      </c>
      <c r="K18" s="129">
        <f t="shared" si="2"/>
        <v>0</v>
      </c>
      <c r="L18" s="111">
        <f t="shared" si="3"/>
        <v>0</v>
      </c>
    </row>
    <row r="19" spans="1:21" ht="15.75" thickBot="1" x14ac:dyDescent="0.3">
      <c r="A19" s="24" t="s">
        <v>12</v>
      </c>
      <c r="B19" s="6" t="s">
        <v>15</v>
      </c>
      <c r="C19" s="77"/>
      <c r="D19" s="12">
        <v>0</v>
      </c>
      <c r="E19" s="15">
        <v>0</v>
      </c>
      <c r="F19" s="58">
        <f t="shared" si="0"/>
        <v>0</v>
      </c>
      <c r="G19" s="27">
        <v>0</v>
      </c>
      <c r="H19" s="15">
        <v>0</v>
      </c>
      <c r="I19" s="103">
        <f t="shared" si="1"/>
        <v>0</v>
      </c>
      <c r="J19" s="107">
        <v>0</v>
      </c>
      <c r="K19" s="129">
        <f t="shared" si="2"/>
        <v>0</v>
      </c>
      <c r="L19" s="111">
        <f t="shared" si="3"/>
        <v>0</v>
      </c>
    </row>
    <row r="20" spans="1:21" ht="15.75" thickBot="1" x14ac:dyDescent="0.3">
      <c r="A20" s="24" t="s">
        <v>12</v>
      </c>
      <c r="B20" s="6" t="s">
        <v>15</v>
      </c>
      <c r="C20" s="77"/>
      <c r="D20" s="12">
        <v>0</v>
      </c>
      <c r="E20" s="15">
        <v>0</v>
      </c>
      <c r="F20" s="58">
        <f t="shared" si="0"/>
        <v>0</v>
      </c>
      <c r="G20" s="27">
        <v>0</v>
      </c>
      <c r="H20" s="15">
        <v>0</v>
      </c>
      <c r="I20" s="103">
        <f t="shared" si="1"/>
        <v>0</v>
      </c>
      <c r="J20" s="107">
        <v>0</v>
      </c>
      <c r="K20" s="129">
        <f t="shared" si="2"/>
        <v>0</v>
      </c>
      <c r="L20" s="111">
        <f t="shared" si="3"/>
        <v>0</v>
      </c>
    </row>
    <row r="21" spans="1:21" ht="15.75" thickBot="1" x14ac:dyDescent="0.3">
      <c r="A21" s="24"/>
      <c r="B21" s="6"/>
      <c r="C21" s="77"/>
      <c r="D21" s="12">
        <v>0</v>
      </c>
      <c r="E21" s="15">
        <v>0</v>
      </c>
      <c r="F21" s="58">
        <f t="shared" si="0"/>
        <v>0</v>
      </c>
      <c r="G21" s="101">
        <v>0</v>
      </c>
      <c r="H21" s="15">
        <v>0</v>
      </c>
      <c r="I21" s="103">
        <f t="shared" si="1"/>
        <v>0</v>
      </c>
      <c r="J21" s="107">
        <v>0</v>
      </c>
      <c r="K21" s="129">
        <f t="shared" si="2"/>
        <v>0</v>
      </c>
      <c r="L21" s="111">
        <f t="shared" si="3"/>
        <v>0</v>
      </c>
    </row>
    <row r="22" spans="1:21" ht="15.75" thickBot="1" x14ac:dyDescent="0.3">
      <c r="A22" s="24"/>
      <c r="B22" s="6"/>
      <c r="C22" s="77"/>
      <c r="D22" s="12">
        <v>0</v>
      </c>
      <c r="E22" s="15">
        <v>0</v>
      </c>
      <c r="F22" s="58">
        <f t="shared" si="0"/>
        <v>0</v>
      </c>
      <c r="G22" s="101">
        <v>0</v>
      </c>
      <c r="H22" s="15">
        <v>0</v>
      </c>
      <c r="I22" s="103">
        <f t="shared" si="1"/>
        <v>0</v>
      </c>
      <c r="J22" s="107">
        <v>0</v>
      </c>
      <c r="K22" s="129">
        <f t="shared" si="2"/>
        <v>0</v>
      </c>
      <c r="L22" s="111">
        <f t="shared" si="3"/>
        <v>0</v>
      </c>
    </row>
    <row r="23" spans="1:21" ht="15.75" thickBot="1" x14ac:dyDescent="0.3">
      <c r="A23" s="24"/>
      <c r="B23" s="6"/>
      <c r="C23" s="77"/>
      <c r="D23" s="12">
        <v>0</v>
      </c>
      <c r="E23" s="15">
        <v>0</v>
      </c>
      <c r="F23" s="58">
        <f t="shared" si="0"/>
        <v>0</v>
      </c>
      <c r="G23" s="101">
        <v>0</v>
      </c>
      <c r="H23" s="15">
        <v>0</v>
      </c>
      <c r="I23" s="103">
        <f t="shared" si="1"/>
        <v>0</v>
      </c>
      <c r="J23" s="107">
        <v>0</v>
      </c>
      <c r="K23" s="129">
        <f t="shared" si="2"/>
        <v>0</v>
      </c>
      <c r="L23" s="111">
        <f t="shared" si="3"/>
        <v>0</v>
      </c>
    </row>
    <row r="24" spans="1:21" ht="15.75" thickBot="1" x14ac:dyDescent="0.3">
      <c r="A24" s="24" t="s">
        <v>12</v>
      </c>
      <c r="B24" s="6" t="s">
        <v>74</v>
      </c>
      <c r="C24" s="77"/>
      <c r="D24" s="12">
        <v>0</v>
      </c>
      <c r="E24" s="15">
        <v>0</v>
      </c>
      <c r="F24" s="58">
        <f t="shared" si="0"/>
        <v>0</v>
      </c>
      <c r="G24" s="13">
        <v>0</v>
      </c>
      <c r="H24" s="15">
        <v>0</v>
      </c>
      <c r="I24" s="103">
        <f t="shared" si="1"/>
        <v>0</v>
      </c>
      <c r="J24" s="107">
        <v>0</v>
      </c>
      <c r="K24" s="129">
        <f t="shared" si="2"/>
        <v>0</v>
      </c>
      <c r="L24" s="111">
        <f t="shared" si="3"/>
        <v>0</v>
      </c>
    </row>
    <row r="25" spans="1:21" ht="15.75" thickBot="1" x14ac:dyDescent="0.3">
      <c r="A25" s="25"/>
      <c r="B25" s="78"/>
      <c r="C25" s="79"/>
      <c r="D25" s="13"/>
      <c r="E25" s="16"/>
      <c r="F25" s="59"/>
      <c r="G25" s="22"/>
      <c r="H25" s="8"/>
      <c r="I25" s="104"/>
      <c r="J25" s="108"/>
      <c r="K25" s="130"/>
      <c r="L25" s="111">
        <f t="shared" si="3"/>
        <v>0</v>
      </c>
    </row>
    <row r="26" spans="1:21" ht="15.75" thickBot="1" x14ac:dyDescent="0.3">
      <c r="A26" s="164" t="s">
        <v>19</v>
      </c>
      <c r="B26" s="165"/>
      <c r="C26" s="166"/>
      <c r="D26" s="33"/>
      <c r="E26" s="34"/>
      <c r="F26" s="60"/>
      <c r="G26" s="35"/>
      <c r="H26" s="36"/>
      <c r="I26" s="105"/>
      <c r="J26" s="109"/>
      <c r="K26" s="113">
        <f>SUM(K15:K25)</f>
        <v>0</v>
      </c>
      <c r="L26" s="112">
        <f>SUM(L15:L25)</f>
        <v>0</v>
      </c>
    </row>
    <row r="27" spans="1:21" x14ac:dyDescent="0.25">
      <c r="A27" s="9"/>
      <c r="B27" s="9"/>
      <c r="C27" s="9"/>
      <c r="D27" s="10"/>
      <c r="E27" s="10"/>
      <c r="F27" s="10"/>
    </row>
    <row r="28" spans="1:21" s="1" customFormat="1" ht="15.75" x14ac:dyDescent="0.25">
      <c r="A28" s="2" t="s">
        <v>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62"/>
      <c r="N28" s="62"/>
      <c r="O28" s="62"/>
      <c r="P28" s="62"/>
      <c r="Q28" s="62"/>
      <c r="R28" s="62"/>
      <c r="S28" s="62"/>
      <c r="T28" s="62"/>
      <c r="U28" s="62"/>
    </row>
    <row r="29" spans="1:21" s="68" customFormat="1" ht="15.75" thickBot="1" x14ac:dyDescent="0.3">
      <c r="A29" s="102" t="s">
        <v>24</v>
      </c>
      <c r="B29" s="102" t="s">
        <v>26</v>
      </c>
      <c r="C29" s="102" t="s">
        <v>81</v>
      </c>
      <c r="D29" s="102" t="s">
        <v>78</v>
      </c>
      <c r="E29" s="102" t="s">
        <v>21</v>
      </c>
      <c r="F29" s="102" t="s">
        <v>76</v>
      </c>
      <c r="G29" s="102" t="s">
        <v>77</v>
      </c>
      <c r="H29" s="102" t="s">
        <v>79</v>
      </c>
      <c r="I29" s="102" t="s">
        <v>35</v>
      </c>
      <c r="J29" s="102" t="s">
        <v>62</v>
      </c>
      <c r="K29" s="102" t="s">
        <v>69</v>
      </c>
      <c r="L29" s="102" t="s">
        <v>63</v>
      </c>
      <c r="M29" s="67"/>
      <c r="N29" s="67"/>
      <c r="O29" s="67"/>
      <c r="P29" s="67"/>
      <c r="Q29" s="67"/>
      <c r="R29" s="67"/>
      <c r="S29" s="67"/>
      <c r="T29" s="67"/>
      <c r="U29" s="67"/>
    </row>
    <row r="30" spans="1:21" ht="15.75" thickBot="1" x14ac:dyDescent="0.3">
      <c r="A30" s="80" t="s">
        <v>80</v>
      </c>
      <c r="B30" s="81"/>
      <c r="C30" s="82"/>
      <c r="D30" s="29">
        <v>0</v>
      </c>
      <c r="E30" s="17">
        <v>0</v>
      </c>
      <c r="F30" s="74">
        <f>D30*E30</f>
        <v>0</v>
      </c>
      <c r="G30" s="29">
        <v>0</v>
      </c>
      <c r="H30" s="17">
        <v>0</v>
      </c>
      <c r="I30" s="71">
        <v>0</v>
      </c>
      <c r="J30" s="92" t="s">
        <v>71</v>
      </c>
      <c r="K30" s="131">
        <v>0</v>
      </c>
      <c r="L30" s="114">
        <f>F30+I30+K30</f>
        <v>0</v>
      </c>
    </row>
    <row r="31" spans="1:21" ht="15.75" thickBot="1" x14ac:dyDescent="0.3">
      <c r="A31" s="83" t="s">
        <v>80</v>
      </c>
      <c r="B31" s="28"/>
      <c r="C31" s="84"/>
      <c r="D31" s="30">
        <v>0</v>
      </c>
      <c r="E31" s="18">
        <v>0</v>
      </c>
      <c r="F31" s="74">
        <f t="shared" ref="F31:F34" si="4">D31*E31</f>
        <v>0</v>
      </c>
      <c r="G31" s="30">
        <v>0</v>
      </c>
      <c r="H31" s="18">
        <v>0</v>
      </c>
      <c r="I31" s="71">
        <f t="shared" ref="I31:I34" si="5">G31*H31</f>
        <v>0</v>
      </c>
      <c r="J31" s="83"/>
      <c r="K31" s="121">
        <v>0</v>
      </c>
      <c r="L31" s="114">
        <f t="shared" ref="L31:L33" si="6">F31+I31+K31</f>
        <v>0</v>
      </c>
    </row>
    <row r="32" spans="1:21" ht="15.75" thickBot="1" x14ac:dyDescent="0.3">
      <c r="A32" s="83" t="s">
        <v>80</v>
      </c>
      <c r="B32" s="28"/>
      <c r="C32" s="84"/>
      <c r="D32" s="30">
        <v>0</v>
      </c>
      <c r="E32" s="18">
        <v>0</v>
      </c>
      <c r="F32" s="74">
        <f t="shared" si="4"/>
        <v>0</v>
      </c>
      <c r="G32" s="30">
        <v>0</v>
      </c>
      <c r="H32" s="18">
        <v>0</v>
      </c>
      <c r="I32" s="71">
        <f t="shared" si="5"/>
        <v>0</v>
      </c>
      <c r="J32" s="83"/>
      <c r="K32" s="121">
        <v>0</v>
      </c>
      <c r="L32" s="114">
        <f t="shared" si="6"/>
        <v>0</v>
      </c>
    </row>
    <row r="33" spans="1:21" ht="15.75" thickBot="1" x14ac:dyDescent="0.3">
      <c r="A33" s="83"/>
      <c r="B33" s="28"/>
      <c r="C33" s="84"/>
      <c r="D33" s="30">
        <v>0</v>
      </c>
      <c r="E33" s="18">
        <v>0</v>
      </c>
      <c r="F33" s="74">
        <f t="shared" si="4"/>
        <v>0</v>
      </c>
      <c r="G33" s="30">
        <v>0</v>
      </c>
      <c r="H33" s="18">
        <v>0</v>
      </c>
      <c r="I33" s="71">
        <f t="shared" si="5"/>
        <v>0</v>
      </c>
      <c r="J33" s="83"/>
      <c r="K33" s="121">
        <v>0</v>
      </c>
      <c r="L33" s="114">
        <f t="shared" si="6"/>
        <v>0</v>
      </c>
    </row>
    <row r="34" spans="1:21" x14ac:dyDescent="0.25">
      <c r="A34" s="83"/>
      <c r="B34" s="28"/>
      <c r="C34" s="84"/>
      <c r="D34" s="30">
        <v>0</v>
      </c>
      <c r="E34" s="18">
        <v>0</v>
      </c>
      <c r="F34" s="74">
        <f t="shared" si="4"/>
        <v>0</v>
      </c>
      <c r="G34" s="30">
        <v>0</v>
      </c>
      <c r="H34" s="18">
        <v>0</v>
      </c>
      <c r="I34" s="71">
        <f t="shared" si="5"/>
        <v>0</v>
      </c>
      <c r="J34" s="83"/>
      <c r="K34" s="121">
        <v>0</v>
      </c>
      <c r="L34" s="114">
        <f>F34+I34+K34</f>
        <v>0</v>
      </c>
    </row>
    <row r="35" spans="1:21" ht="15.75" thickBot="1" x14ac:dyDescent="0.3">
      <c r="A35" s="167" t="s">
        <v>25</v>
      </c>
      <c r="B35" s="168"/>
      <c r="C35" s="169"/>
      <c r="D35" s="31">
        <f>SUM(D30:D34)</f>
        <v>0</v>
      </c>
      <c r="E35" s="31"/>
      <c r="F35" s="73">
        <f>SUM(F30:F34)</f>
        <v>0</v>
      </c>
      <c r="G35" s="31">
        <f>SUM(G30:G34)</f>
        <v>0</v>
      </c>
      <c r="H35" s="32"/>
      <c r="I35" s="72">
        <f>SUM(I30:I34)</f>
        <v>0</v>
      </c>
      <c r="J35" s="85"/>
      <c r="K35" s="126">
        <f>SUM(K30:K34)</f>
        <v>0</v>
      </c>
      <c r="L35" s="115">
        <f>SUM(L30:L34)</f>
        <v>0</v>
      </c>
    </row>
    <row r="36" spans="1:21" x14ac:dyDescent="0.25">
      <c r="A36" s="10"/>
      <c r="B36" s="10"/>
      <c r="C36" s="10"/>
      <c r="D36" s="10"/>
      <c r="E36" s="10"/>
      <c r="F36" s="10"/>
      <c r="G36" s="10"/>
      <c r="H36" s="10"/>
      <c r="I36" s="10"/>
      <c r="K36" s="127"/>
    </row>
    <row r="38" spans="1:21" s="1" customFormat="1" ht="15.75" x14ac:dyDescent="0.25">
      <c r="A38" s="2" t="s">
        <v>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62"/>
      <c r="N38" s="62"/>
      <c r="O38" s="62"/>
      <c r="P38" s="62"/>
      <c r="Q38" s="62"/>
      <c r="R38" s="62"/>
      <c r="S38" s="62"/>
      <c r="T38" s="62"/>
      <c r="U38" s="62"/>
    </row>
    <row r="39" spans="1:21" s="68" customFormat="1" ht="15.75" thickBot="1" x14ac:dyDescent="0.3">
      <c r="A39" s="102" t="s">
        <v>7</v>
      </c>
      <c r="B39" s="102" t="s">
        <v>29</v>
      </c>
      <c r="C39" s="158" t="s">
        <v>31</v>
      </c>
      <c r="D39" s="159"/>
      <c r="E39" s="159"/>
      <c r="F39" s="64" t="s">
        <v>37</v>
      </c>
      <c r="G39" s="39" t="s">
        <v>36</v>
      </c>
      <c r="H39" s="65" t="s">
        <v>32</v>
      </c>
      <c r="I39" s="102" t="s">
        <v>68</v>
      </c>
      <c r="J39" s="102" t="s">
        <v>64</v>
      </c>
      <c r="K39" s="102" t="s">
        <v>69</v>
      </c>
      <c r="L39" s="102" t="s">
        <v>65</v>
      </c>
      <c r="M39" s="67"/>
      <c r="N39" s="67"/>
      <c r="O39" s="67"/>
      <c r="P39" s="67"/>
      <c r="Q39" s="67"/>
      <c r="R39" s="67"/>
      <c r="S39" s="67"/>
      <c r="T39" s="67"/>
      <c r="U39" s="67"/>
    </row>
    <row r="40" spans="1:21" ht="16.5" thickBot="1" x14ac:dyDescent="0.3">
      <c r="A40" s="88" t="s">
        <v>27</v>
      </c>
      <c r="B40" s="81" t="s">
        <v>30</v>
      </c>
      <c r="C40" s="160"/>
      <c r="D40" s="161"/>
      <c r="E40" s="161"/>
      <c r="F40" s="40" t="s">
        <v>38</v>
      </c>
      <c r="G40" s="43">
        <v>0</v>
      </c>
      <c r="H40" s="37">
        <v>0</v>
      </c>
      <c r="I40" s="71">
        <f>G40*H40</f>
        <v>0</v>
      </c>
      <c r="J40" s="92" t="s">
        <v>71</v>
      </c>
      <c r="K40" s="119">
        <v>0</v>
      </c>
      <c r="L40" s="114">
        <f>I40+K40</f>
        <v>0</v>
      </c>
    </row>
    <row r="41" spans="1:21" ht="16.5" thickBot="1" x14ac:dyDescent="0.3">
      <c r="A41" s="89" t="s">
        <v>28</v>
      </c>
      <c r="B41" s="28"/>
      <c r="C41" s="162"/>
      <c r="D41" s="163"/>
      <c r="E41" s="163"/>
      <c r="F41" s="41"/>
      <c r="G41" s="44">
        <v>0</v>
      </c>
      <c r="H41" s="46">
        <v>0</v>
      </c>
      <c r="I41" s="71">
        <f t="shared" ref="I41:I44" si="7">G41*H41</f>
        <v>0</v>
      </c>
      <c r="J41" s="83"/>
      <c r="K41" s="120">
        <v>0</v>
      </c>
      <c r="L41" s="114">
        <f t="shared" ref="L41:L44" si="8">I41+K41</f>
        <v>0</v>
      </c>
    </row>
    <row r="42" spans="1:21" ht="16.5" thickBot="1" x14ac:dyDescent="0.3">
      <c r="A42" s="89" t="s">
        <v>28</v>
      </c>
      <c r="B42" s="28"/>
      <c r="C42" s="162"/>
      <c r="D42" s="163"/>
      <c r="E42" s="163"/>
      <c r="F42" s="41"/>
      <c r="G42" s="44">
        <v>0</v>
      </c>
      <c r="H42" s="46">
        <v>0</v>
      </c>
      <c r="I42" s="71">
        <f t="shared" si="7"/>
        <v>0</v>
      </c>
      <c r="J42" s="83"/>
      <c r="K42" s="120">
        <v>0</v>
      </c>
      <c r="L42" s="114">
        <f t="shared" si="8"/>
        <v>0</v>
      </c>
    </row>
    <row r="43" spans="1:21" ht="16.5" thickBot="1" x14ac:dyDescent="0.3">
      <c r="A43" s="89" t="s">
        <v>28</v>
      </c>
      <c r="B43" s="28"/>
      <c r="C43" s="162"/>
      <c r="D43" s="163"/>
      <c r="E43" s="163"/>
      <c r="F43" s="41"/>
      <c r="G43" s="44">
        <v>0</v>
      </c>
      <c r="H43" s="46">
        <v>0</v>
      </c>
      <c r="I43" s="71">
        <f t="shared" si="7"/>
        <v>0</v>
      </c>
      <c r="J43" s="83"/>
      <c r="K43" s="120">
        <v>0</v>
      </c>
      <c r="L43" s="114">
        <f t="shared" si="8"/>
        <v>0</v>
      </c>
    </row>
    <row r="44" spans="1:21" ht="16.5" thickBot="1" x14ac:dyDescent="0.3">
      <c r="A44" s="89" t="s">
        <v>28</v>
      </c>
      <c r="B44" s="28"/>
      <c r="C44" s="162"/>
      <c r="D44" s="163"/>
      <c r="E44" s="163"/>
      <c r="F44" s="41"/>
      <c r="G44" s="44">
        <v>0</v>
      </c>
      <c r="H44" s="46">
        <v>0</v>
      </c>
      <c r="I44" s="71">
        <f t="shared" si="7"/>
        <v>0</v>
      </c>
      <c r="J44" s="83"/>
      <c r="K44" s="120">
        <v>0</v>
      </c>
      <c r="L44" s="114">
        <f t="shared" si="8"/>
        <v>0</v>
      </c>
    </row>
    <row r="45" spans="1:21" ht="16.5" thickBot="1" x14ac:dyDescent="0.3">
      <c r="A45" s="140" t="s">
        <v>25</v>
      </c>
      <c r="B45" s="141"/>
      <c r="C45" s="141"/>
      <c r="D45" s="141"/>
      <c r="E45" s="141"/>
      <c r="F45" s="42"/>
      <c r="G45" s="45"/>
      <c r="H45" s="38"/>
      <c r="I45" s="97">
        <f>SUM(I40:I44)</f>
        <v>0</v>
      </c>
      <c r="J45" s="85"/>
      <c r="K45" s="132">
        <f>SUM(K40:K44)</f>
        <v>0</v>
      </c>
      <c r="L45" s="115">
        <f>SUM(L40:L44)</f>
        <v>0</v>
      </c>
    </row>
    <row r="48" spans="1:21" s="1" customFormat="1" ht="15.75" x14ac:dyDescent="0.25">
      <c r="A48" s="2" t="s">
        <v>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62"/>
      <c r="N48" s="62"/>
      <c r="O48" s="62"/>
      <c r="P48" s="62"/>
      <c r="Q48" s="62"/>
      <c r="R48" s="62"/>
      <c r="S48" s="62"/>
      <c r="T48" s="62"/>
      <c r="U48" s="62"/>
    </row>
    <row r="49" spans="1:21" s="68" customFormat="1" ht="15.75" thickBot="1" x14ac:dyDescent="0.3">
      <c r="A49" s="102" t="s">
        <v>39</v>
      </c>
      <c r="B49" s="102" t="s">
        <v>42</v>
      </c>
      <c r="C49" s="102" t="s">
        <v>43</v>
      </c>
      <c r="D49" s="102" t="s">
        <v>44</v>
      </c>
      <c r="E49" s="102" t="s">
        <v>48</v>
      </c>
      <c r="F49" s="102" t="s">
        <v>45</v>
      </c>
      <c r="G49" s="102" t="s">
        <v>46</v>
      </c>
      <c r="H49" s="102" t="s">
        <v>47</v>
      </c>
      <c r="I49" s="102" t="s">
        <v>20</v>
      </c>
      <c r="J49" s="102" t="s">
        <v>66</v>
      </c>
      <c r="K49" s="102" t="s">
        <v>69</v>
      </c>
      <c r="L49" s="102" t="s">
        <v>67</v>
      </c>
      <c r="M49" s="67"/>
      <c r="N49" s="67"/>
      <c r="O49" s="67"/>
      <c r="P49" s="67"/>
      <c r="Q49" s="67"/>
      <c r="R49" s="67"/>
      <c r="S49" s="67"/>
      <c r="T49" s="67"/>
      <c r="U49" s="67"/>
    </row>
    <row r="50" spans="1:21" ht="15.75" thickBot="1" x14ac:dyDescent="0.3">
      <c r="A50" s="80" t="s">
        <v>40</v>
      </c>
      <c r="B50" s="81" t="s">
        <v>49</v>
      </c>
      <c r="C50" s="81" t="s">
        <v>50</v>
      </c>
      <c r="D50" s="90">
        <v>44429</v>
      </c>
      <c r="E50" s="91">
        <v>44432</v>
      </c>
      <c r="F50" s="17">
        <v>0</v>
      </c>
      <c r="G50" s="17">
        <v>0</v>
      </c>
      <c r="H50" s="50">
        <v>0</v>
      </c>
      <c r="I50" s="69">
        <f>F50+G50+H50</f>
        <v>0</v>
      </c>
      <c r="J50" s="99"/>
      <c r="K50" s="98">
        <v>0</v>
      </c>
      <c r="L50" s="116">
        <f>I50+K50</f>
        <v>0</v>
      </c>
    </row>
    <row r="51" spans="1:21" ht="15.75" thickBot="1" x14ac:dyDescent="0.3">
      <c r="A51" s="83" t="s">
        <v>41</v>
      </c>
      <c r="B51" s="28"/>
      <c r="C51" s="28"/>
      <c r="D51" s="28"/>
      <c r="E51" s="84"/>
      <c r="F51" s="18">
        <v>0</v>
      </c>
      <c r="G51" s="18">
        <v>0</v>
      </c>
      <c r="H51" s="51">
        <v>0</v>
      </c>
      <c r="I51" s="69">
        <f t="shared" ref="I51:I55" si="9">F51+G51+H51</f>
        <v>0</v>
      </c>
      <c r="J51" s="83"/>
      <c r="K51" s="93">
        <v>0</v>
      </c>
      <c r="L51" s="116">
        <f t="shared" ref="L51:L55" si="10">I51+K51</f>
        <v>0</v>
      </c>
    </row>
    <row r="52" spans="1:21" ht="15.75" thickBot="1" x14ac:dyDescent="0.3">
      <c r="A52" s="83" t="s">
        <v>40</v>
      </c>
      <c r="B52" s="28"/>
      <c r="C52" s="28"/>
      <c r="D52" s="28"/>
      <c r="E52" s="84"/>
      <c r="F52" s="18">
        <v>0</v>
      </c>
      <c r="G52" s="18">
        <v>0</v>
      </c>
      <c r="H52" s="51">
        <v>0</v>
      </c>
      <c r="I52" s="69">
        <f t="shared" si="9"/>
        <v>0</v>
      </c>
      <c r="J52" s="83"/>
      <c r="K52" s="93">
        <v>0</v>
      </c>
      <c r="L52" s="116">
        <f t="shared" si="10"/>
        <v>0</v>
      </c>
    </row>
    <row r="53" spans="1:21" ht="15.75" thickBot="1" x14ac:dyDescent="0.3">
      <c r="A53" s="83" t="s">
        <v>40</v>
      </c>
      <c r="B53" s="28"/>
      <c r="C53" s="28"/>
      <c r="D53" s="28"/>
      <c r="E53" s="84"/>
      <c r="F53" s="18">
        <v>0</v>
      </c>
      <c r="G53" s="18">
        <v>0</v>
      </c>
      <c r="H53" s="51">
        <v>0</v>
      </c>
      <c r="I53" s="69">
        <f t="shared" si="9"/>
        <v>0</v>
      </c>
      <c r="J53" s="83"/>
      <c r="K53" s="93">
        <v>0</v>
      </c>
      <c r="L53" s="116">
        <f t="shared" si="10"/>
        <v>0</v>
      </c>
    </row>
    <row r="54" spans="1:21" ht="15.75" thickBot="1" x14ac:dyDescent="0.3">
      <c r="A54" s="83" t="s">
        <v>40</v>
      </c>
      <c r="B54" s="28"/>
      <c r="C54" s="28"/>
      <c r="D54" s="28"/>
      <c r="E54" s="84"/>
      <c r="F54" s="18">
        <v>0</v>
      </c>
      <c r="G54" s="18">
        <v>0</v>
      </c>
      <c r="H54" s="51">
        <v>0</v>
      </c>
      <c r="I54" s="69">
        <f t="shared" si="9"/>
        <v>0</v>
      </c>
      <c r="J54" s="83"/>
      <c r="K54" s="93">
        <v>0</v>
      </c>
      <c r="L54" s="116">
        <f t="shared" si="10"/>
        <v>0</v>
      </c>
    </row>
    <row r="55" spans="1:21" ht="15.75" thickBot="1" x14ac:dyDescent="0.3">
      <c r="A55" s="85"/>
      <c r="B55" s="86"/>
      <c r="C55" s="86"/>
      <c r="D55" s="86"/>
      <c r="E55" s="87"/>
      <c r="F55" s="19">
        <v>0</v>
      </c>
      <c r="G55" s="19">
        <v>0</v>
      </c>
      <c r="H55" s="52">
        <v>0</v>
      </c>
      <c r="I55" s="69">
        <f t="shared" si="9"/>
        <v>0</v>
      </c>
      <c r="J55" s="85"/>
      <c r="K55" s="100">
        <v>0</v>
      </c>
      <c r="L55" s="116">
        <f t="shared" si="10"/>
        <v>0</v>
      </c>
    </row>
    <row r="56" spans="1:21" x14ac:dyDescent="0.25">
      <c r="A56" s="49"/>
      <c r="B56" s="49"/>
      <c r="C56" s="49"/>
      <c r="D56" s="49"/>
      <c r="E56" s="49"/>
      <c r="F56" s="48"/>
      <c r="G56" s="49"/>
      <c r="H56" s="53"/>
      <c r="I56" s="70"/>
      <c r="J56" s="49"/>
      <c r="K56" s="48"/>
      <c r="L56" s="117"/>
    </row>
    <row r="57" spans="1:21" s="1" customFormat="1" x14ac:dyDescent="0.25">
      <c r="A57" s="146" t="s">
        <v>19</v>
      </c>
      <c r="B57" s="147"/>
      <c r="C57" s="147"/>
      <c r="D57" s="147"/>
      <c r="E57" s="148"/>
      <c r="F57" s="47">
        <f>SUM(F50:F56)</f>
        <v>0</v>
      </c>
      <c r="G57" s="47">
        <f>SUM(G50:G56)</f>
        <v>0</v>
      </c>
      <c r="H57" s="47">
        <f>SUM(H50:H56)</f>
        <v>0</v>
      </c>
      <c r="I57" s="47">
        <f>SUM(I50:I56)</f>
        <v>0</v>
      </c>
      <c r="J57" s="47"/>
      <c r="K57" s="133">
        <f>SUM(K50:K56)</f>
        <v>0</v>
      </c>
      <c r="L57" s="118">
        <f>SUM(L50:L56)</f>
        <v>0</v>
      </c>
    </row>
    <row r="58" spans="1:21" x14ac:dyDescent="0.25">
      <c r="A58" s="1"/>
      <c r="B58" s="1"/>
      <c r="C58" s="1"/>
      <c r="D58" s="1"/>
      <c r="E58" s="1"/>
    </row>
    <row r="60" spans="1:21" x14ac:dyDescent="0.25">
      <c r="A60" s="125" t="s">
        <v>82</v>
      </c>
    </row>
  </sheetData>
  <mergeCells count="20">
    <mergeCell ref="A35:C35"/>
    <mergeCell ref="A1:C1"/>
    <mergeCell ref="B2:C2"/>
    <mergeCell ref="B3:C3"/>
    <mergeCell ref="B4:C4"/>
    <mergeCell ref="B5:C5"/>
    <mergeCell ref="B6:C6"/>
    <mergeCell ref="B7:C7"/>
    <mergeCell ref="B8:C8"/>
    <mergeCell ref="A11:L11"/>
    <mergeCell ref="A12:L12"/>
    <mergeCell ref="A26:C26"/>
    <mergeCell ref="A45:E45"/>
    <mergeCell ref="A57:E57"/>
    <mergeCell ref="C39:E39"/>
    <mergeCell ref="C40:E40"/>
    <mergeCell ref="C41:E41"/>
    <mergeCell ref="C42:E42"/>
    <mergeCell ref="C43:E43"/>
    <mergeCell ref="C44:E4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CD27-D317-4F14-8D24-7B2A68F32121}">
  <dimension ref="A1:U60"/>
  <sheetViews>
    <sheetView workbookViewId="0">
      <selection activeCell="G7" sqref="G7"/>
    </sheetView>
  </sheetViews>
  <sheetFormatPr defaultRowHeight="15" x14ac:dyDescent="0.25"/>
  <cols>
    <col min="1" max="1" width="25.5703125" customWidth="1"/>
    <col min="2" max="2" width="23.140625" customWidth="1"/>
    <col min="3" max="3" width="12.5703125" customWidth="1"/>
    <col min="4" max="4" width="14.7109375" customWidth="1"/>
    <col min="5" max="5" width="12.85546875" customWidth="1"/>
    <col min="6" max="6" width="15.42578125" customWidth="1"/>
    <col min="7" max="7" width="13.7109375" customWidth="1"/>
    <col min="8" max="8" width="12.85546875" customWidth="1"/>
    <col min="9" max="9" width="12.5703125" customWidth="1"/>
    <col min="10" max="10" width="20.28515625" customWidth="1"/>
    <col min="11" max="11" width="15.42578125" customWidth="1"/>
    <col min="12" max="12" width="21" customWidth="1"/>
  </cols>
  <sheetData>
    <row r="1" spans="1:21" ht="15.75" x14ac:dyDescent="0.25">
      <c r="A1" s="144" t="s">
        <v>59</v>
      </c>
      <c r="B1" s="145"/>
      <c r="C1" s="145"/>
      <c r="D1" s="7"/>
    </row>
    <row r="2" spans="1:21" x14ac:dyDescent="0.25">
      <c r="A2" s="21" t="s">
        <v>2</v>
      </c>
      <c r="B2" s="152" t="s">
        <v>54</v>
      </c>
      <c r="C2" s="153"/>
      <c r="K2" s="124"/>
    </row>
    <row r="3" spans="1:21" x14ac:dyDescent="0.25">
      <c r="A3" s="20" t="s">
        <v>1</v>
      </c>
      <c r="B3" s="154" t="s">
        <v>55</v>
      </c>
      <c r="C3" s="155"/>
      <c r="D3" s="55"/>
      <c r="K3" s="124"/>
    </row>
    <row r="4" spans="1:21" x14ac:dyDescent="0.25">
      <c r="A4" s="20" t="s">
        <v>3</v>
      </c>
      <c r="B4" s="154" t="s">
        <v>56</v>
      </c>
      <c r="C4" s="155"/>
      <c r="D4" s="55"/>
      <c r="K4" s="124"/>
    </row>
    <row r="5" spans="1:21" x14ac:dyDescent="0.25">
      <c r="A5" s="20" t="s">
        <v>0</v>
      </c>
      <c r="B5" s="154" t="s">
        <v>57</v>
      </c>
      <c r="C5" s="155"/>
      <c r="D5" s="55"/>
      <c r="K5" s="124"/>
    </row>
    <row r="6" spans="1:21" x14ac:dyDescent="0.25">
      <c r="A6" s="20" t="s">
        <v>18</v>
      </c>
      <c r="B6" s="156" t="s">
        <v>58</v>
      </c>
      <c r="C6" s="157"/>
      <c r="D6" s="55"/>
      <c r="K6" s="124"/>
    </row>
    <row r="7" spans="1:21" x14ac:dyDescent="0.25">
      <c r="A7" s="123" t="s">
        <v>51</v>
      </c>
      <c r="B7" s="170">
        <f>L26+L35+L45+L57</f>
        <v>0</v>
      </c>
      <c r="C7" s="171"/>
      <c r="D7" s="55"/>
    </row>
    <row r="8" spans="1:21" x14ac:dyDescent="0.25">
      <c r="A8" s="122" t="s">
        <v>4</v>
      </c>
      <c r="B8" s="138">
        <f>K26+K35+K45+K57</f>
        <v>0</v>
      </c>
      <c r="C8" s="139"/>
      <c r="D8" s="56" t="s">
        <v>71</v>
      </c>
    </row>
    <row r="9" spans="1:21" s="96" customFormat="1" x14ac:dyDescent="0.25">
      <c r="A9" s="61"/>
      <c r="B9" s="94"/>
      <c r="C9" s="95"/>
      <c r="D9" s="56"/>
    </row>
    <row r="10" spans="1:21" ht="11.25" customHeight="1" x14ac:dyDescent="0.25">
      <c r="A10" s="61"/>
      <c r="B10" s="9"/>
      <c r="C10" s="9"/>
      <c r="D10" s="56"/>
    </row>
    <row r="11" spans="1:21" s="96" customFormat="1" ht="21.75" customHeight="1" x14ac:dyDescent="0.25">
      <c r="A11" s="142" t="s">
        <v>72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</row>
    <row r="12" spans="1:21" x14ac:dyDescent="0.25">
      <c r="A12" s="149" t="s">
        <v>84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1"/>
    </row>
    <row r="13" spans="1:21" s="1" customFormat="1" ht="15.75" x14ac:dyDescent="0.25">
      <c r="A13" s="2" t="s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62"/>
      <c r="N13" s="62"/>
      <c r="O13" s="62"/>
      <c r="P13" s="62"/>
      <c r="Q13" s="62"/>
      <c r="R13" s="62"/>
      <c r="S13" s="62"/>
      <c r="T13" s="62"/>
      <c r="U13" s="62"/>
    </row>
    <row r="14" spans="1:21" s="5" customFormat="1" ht="16.5" thickBot="1" x14ac:dyDescent="0.3">
      <c r="A14" s="4" t="s">
        <v>5</v>
      </c>
      <c r="B14" s="4" t="s">
        <v>13</v>
      </c>
      <c r="C14" s="4" t="s">
        <v>16</v>
      </c>
      <c r="D14" s="4" t="s">
        <v>17</v>
      </c>
      <c r="E14" s="54" t="s">
        <v>21</v>
      </c>
      <c r="F14" s="4" t="s">
        <v>33</v>
      </c>
      <c r="G14" s="4" t="s">
        <v>23</v>
      </c>
      <c r="H14" s="4" t="s">
        <v>22</v>
      </c>
      <c r="I14" s="4" t="s">
        <v>34</v>
      </c>
      <c r="J14" s="4" t="s">
        <v>61</v>
      </c>
      <c r="K14" s="4" t="s">
        <v>60</v>
      </c>
      <c r="L14" s="4" t="s">
        <v>53</v>
      </c>
      <c r="M14" s="63"/>
      <c r="N14" s="63"/>
      <c r="O14" s="63"/>
      <c r="P14" s="63"/>
      <c r="Q14" s="63"/>
      <c r="R14" s="63"/>
      <c r="S14" s="63"/>
      <c r="T14" s="63"/>
      <c r="U14" s="63"/>
    </row>
    <row r="15" spans="1:21" ht="15.75" thickBot="1" x14ac:dyDescent="0.3">
      <c r="A15" s="23" t="s">
        <v>11</v>
      </c>
      <c r="B15" s="75" t="s">
        <v>14</v>
      </c>
      <c r="C15" s="76" t="s">
        <v>73</v>
      </c>
      <c r="D15" s="11">
        <v>0</v>
      </c>
      <c r="E15" s="14">
        <v>0</v>
      </c>
      <c r="F15" s="57">
        <f t="shared" ref="F15:F24" si="0">D15*E15</f>
        <v>0</v>
      </c>
      <c r="G15" s="26">
        <v>0</v>
      </c>
      <c r="H15" s="14">
        <v>0</v>
      </c>
      <c r="I15" s="103">
        <f>G15*H15</f>
        <v>0</v>
      </c>
      <c r="J15" s="106">
        <v>0</v>
      </c>
      <c r="K15" s="128">
        <f>D15*J15</f>
        <v>0</v>
      </c>
      <c r="L15" s="110">
        <f>F15+I15+K15</f>
        <v>0</v>
      </c>
    </row>
    <row r="16" spans="1:21" ht="15.75" thickBot="1" x14ac:dyDescent="0.3">
      <c r="A16" s="24" t="s">
        <v>11</v>
      </c>
      <c r="B16" s="6" t="s">
        <v>14</v>
      </c>
      <c r="C16" s="77" t="s">
        <v>73</v>
      </c>
      <c r="D16" s="12">
        <v>0</v>
      </c>
      <c r="E16" s="15">
        <v>0</v>
      </c>
      <c r="F16" s="58">
        <f t="shared" si="0"/>
        <v>0</v>
      </c>
      <c r="G16" s="27">
        <v>0</v>
      </c>
      <c r="H16" s="15">
        <v>0</v>
      </c>
      <c r="I16" s="103">
        <f t="shared" ref="I16:I24" si="1">G16*H16</f>
        <v>0</v>
      </c>
      <c r="J16" s="107">
        <v>0</v>
      </c>
      <c r="K16" s="129">
        <f t="shared" ref="K16:K24" si="2">D16*J16</f>
        <v>0</v>
      </c>
      <c r="L16" s="111">
        <f t="shared" ref="L16:L25" si="3">F16+I16+K16</f>
        <v>0</v>
      </c>
    </row>
    <row r="17" spans="1:21" ht="15.75" thickBot="1" x14ac:dyDescent="0.3">
      <c r="A17" s="24" t="s">
        <v>11</v>
      </c>
      <c r="B17" s="6" t="s">
        <v>14</v>
      </c>
      <c r="C17" s="77"/>
      <c r="D17" s="12">
        <v>0</v>
      </c>
      <c r="E17" s="15">
        <v>0</v>
      </c>
      <c r="F17" s="58">
        <f t="shared" si="0"/>
        <v>0</v>
      </c>
      <c r="G17" s="27">
        <v>0</v>
      </c>
      <c r="H17" s="15">
        <v>0</v>
      </c>
      <c r="I17" s="103">
        <f t="shared" si="1"/>
        <v>0</v>
      </c>
      <c r="J17" s="107">
        <v>0</v>
      </c>
      <c r="K17" s="129">
        <f t="shared" si="2"/>
        <v>0</v>
      </c>
      <c r="L17" s="111">
        <f t="shared" si="3"/>
        <v>0</v>
      </c>
    </row>
    <row r="18" spans="1:21" ht="15.75" thickBot="1" x14ac:dyDescent="0.3">
      <c r="A18" s="24" t="s">
        <v>11</v>
      </c>
      <c r="B18" s="6" t="s">
        <v>14</v>
      </c>
      <c r="C18" s="77"/>
      <c r="D18" s="12">
        <v>0</v>
      </c>
      <c r="E18" s="15">
        <v>0</v>
      </c>
      <c r="F18" s="58">
        <f t="shared" si="0"/>
        <v>0</v>
      </c>
      <c r="G18" s="27">
        <v>0</v>
      </c>
      <c r="H18" s="15">
        <v>0</v>
      </c>
      <c r="I18" s="103">
        <f t="shared" si="1"/>
        <v>0</v>
      </c>
      <c r="J18" s="107">
        <v>0</v>
      </c>
      <c r="K18" s="129">
        <f t="shared" si="2"/>
        <v>0</v>
      </c>
      <c r="L18" s="111">
        <f t="shared" si="3"/>
        <v>0</v>
      </c>
    </row>
    <row r="19" spans="1:21" ht="15.75" thickBot="1" x14ac:dyDescent="0.3">
      <c r="A19" s="24" t="s">
        <v>12</v>
      </c>
      <c r="B19" s="6" t="s">
        <v>15</v>
      </c>
      <c r="C19" s="77"/>
      <c r="D19" s="12">
        <v>0</v>
      </c>
      <c r="E19" s="15">
        <v>0</v>
      </c>
      <c r="F19" s="58">
        <f t="shared" si="0"/>
        <v>0</v>
      </c>
      <c r="G19" s="27">
        <v>0</v>
      </c>
      <c r="H19" s="15">
        <v>0</v>
      </c>
      <c r="I19" s="103">
        <f t="shared" si="1"/>
        <v>0</v>
      </c>
      <c r="J19" s="107">
        <v>0</v>
      </c>
      <c r="K19" s="129">
        <f t="shared" si="2"/>
        <v>0</v>
      </c>
      <c r="L19" s="111">
        <f t="shared" si="3"/>
        <v>0</v>
      </c>
    </row>
    <row r="20" spans="1:21" ht="15.75" thickBot="1" x14ac:dyDescent="0.3">
      <c r="A20" s="24" t="s">
        <v>12</v>
      </c>
      <c r="B20" s="6" t="s">
        <v>15</v>
      </c>
      <c r="C20" s="77"/>
      <c r="D20" s="12">
        <v>0</v>
      </c>
      <c r="E20" s="15">
        <v>0</v>
      </c>
      <c r="F20" s="58">
        <f t="shared" si="0"/>
        <v>0</v>
      </c>
      <c r="G20" s="27">
        <v>0</v>
      </c>
      <c r="H20" s="15">
        <v>0</v>
      </c>
      <c r="I20" s="103">
        <f t="shared" si="1"/>
        <v>0</v>
      </c>
      <c r="J20" s="107">
        <v>0</v>
      </c>
      <c r="K20" s="129">
        <f t="shared" si="2"/>
        <v>0</v>
      </c>
      <c r="L20" s="111">
        <f t="shared" si="3"/>
        <v>0</v>
      </c>
    </row>
    <row r="21" spans="1:21" ht="15.75" thickBot="1" x14ac:dyDescent="0.3">
      <c r="A21" s="24"/>
      <c r="B21" s="6"/>
      <c r="C21" s="77"/>
      <c r="D21" s="12">
        <v>0</v>
      </c>
      <c r="E21" s="15">
        <v>0</v>
      </c>
      <c r="F21" s="58">
        <f t="shared" si="0"/>
        <v>0</v>
      </c>
      <c r="G21" s="101">
        <v>0</v>
      </c>
      <c r="H21" s="15">
        <v>0</v>
      </c>
      <c r="I21" s="103">
        <f t="shared" si="1"/>
        <v>0</v>
      </c>
      <c r="J21" s="107">
        <v>0</v>
      </c>
      <c r="K21" s="129">
        <f t="shared" si="2"/>
        <v>0</v>
      </c>
      <c r="L21" s="111">
        <f t="shared" si="3"/>
        <v>0</v>
      </c>
    </row>
    <row r="22" spans="1:21" ht="15.75" thickBot="1" x14ac:dyDescent="0.3">
      <c r="A22" s="24"/>
      <c r="B22" s="6"/>
      <c r="C22" s="77"/>
      <c r="D22" s="12">
        <v>0</v>
      </c>
      <c r="E22" s="15">
        <v>0</v>
      </c>
      <c r="F22" s="58">
        <f t="shared" si="0"/>
        <v>0</v>
      </c>
      <c r="G22" s="101">
        <v>0</v>
      </c>
      <c r="H22" s="15">
        <v>0</v>
      </c>
      <c r="I22" s="103">
        <f t="shared" si="1"/>
        <v>0</v>
      </c>
      <c r="J22" s="107">
        <v>0</v>
      </c>
      <c r="K22" s="129">
        <f t="shared" si="2"/>
        <v>0</v>
      </c>
      <c r="L22" s="111">
        <f t="shared" si="3"/>
        <v>0</v>
      </c>
    </row>
    <row r="23" spans="1:21" ht="15.75" thickBot="1" x14ac:dyDescent="0.3">
      <c r="A23" s="24"/>
      <c r="B23" s="6"/>
      <c r="C23" s="77"/>
      <c r="D23" s="12">
        <v>0</v>
      </c>
      <c r="E23" s="15">
        <v>0</v>
      </c>
      <c r="F23" s="58">
        <f t="shared" si="0"/>
        <v>0</v>
      </c>
      <c r="G23" s="101">
        <v>0</v>
      </c>
      <c r="H23" s="15">
        <v>0</v>
      </c>
      <c r="I23" s="103">
        <f t="shared" si="1"/>
        <v>0</v>
      </c>
      <c r="J23" s="107">
        <v>0</v>
      </c>
      <c r="K23" s="129">
        <f t="shared" si="2"/>
        <v>0</v>
      </c>
      <c r="L23" s="111">
        <f t="shared" si="3"/>
        <v>0</v>
      </c>
    </row>
    <row r="24" spans="1:21" ht="15.75" thickBot="1" x14ac:dyDescent="0.3">
      <c r="A24" s="24" t="s">
        <v>12</v>
      </c>
      <c r="B24" s="6" t="s">
        <v>74</v>
      </c>
      <c r="C24" s="77"/>
      <c r="D24" s="12">
        <v>0</v>
      </c>
      <c r="E24" s="15">
        <v>0</v>
      </c>
      <c r="F24" s="58">
        <f t="shared" si="0"/>
        <v>0</v>
      </c>
      <c r="G24" s="13">
        <v>0</v>
      </c>
      <c r="H24" s="15">
        <v>0</v>
      </c>
      <c r="I24" s="103">
        <f t="shared" si="1"/>
        <v>0</v>
      </c>
      <c r="J24" s="107">
        <v>0</v>
      </c>
      <c r="K24" s="129">
        <f t="shared" si="2"/>
        <v>0</v>
      </c>
      <c r="L24" s="111">
        <f t="shared" si="3"/>
        <v>0</v>
      </c>
    </row>
    <row r="25" spans="1:21" ht="15.75" thickBot="1" x14ac:dyDescent="0.3">
      <c r="A25" s="25"/>
      <c r="B25" s="78"/>
      <c r="C25" s="79"/>
      <c r="D25" s="13"/>
      <c r="E25" s="16"/>
      <c r="F25" s="59"/>
      <c r="G25" s="22"/>
      <c r="H25" s="8"/>
      <c r="I25" s="104"/>
      <c r="J25" s="108"/>
      <c r="K25" s="130"/>
      <c r="L25" s="111">
        <f t="shared" si="3"/>
        <v>0</v>
      </c>
    </row>
    <row r="26" spans="1:21" ht="15.75" thickBot="1" x14ac:dyDescent="0.3">
      <c r="A26" s="164" t="s">
        <v>19</v>
      </c>
      <c r="B26" s="165"/>
      <c r="C26" s="166"/>
      <c r="D26" s="33"/>
      <c r="E26" s="34"/>
      <c r="F26" s="60"/>
      <c r="G26" s="35"/>
      <c r="H26" s="36"/>
      <c r="I26" s="105"/>
      <c r="J26" s="109"/>
      <c r="K26" s="113">
        <f>SUM(K15:K25)</f>
        <v>0</v>
      </c>
      <c r="L26" s="112">
        <f>SUM(L15:L25)</f>
        <v>0</v>
      </c>
    </row>
    <row r="27" spans="1:21" x14ac:dyDescent="0.25">
      <c r="A27" s="9"/>
      <c r="B27" s="9"/>
      <c r="C27" s="9"/>
      <c r="D27" s="10"/>
      <c r="E27" s="10"/>
      <c r="F27" s="10"/>
    </row>
    <row r="28" spans="1:21" s="1" customFormat="1" ht="15.75" x14ac:dyDescent="0.25">
      <c r="A28" s="2" t="s">
        <v>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62"/>
      <c r="N28" s="62"/>
      <c r="O28" s="62"/>
      <c r="P28" s="62"/>
      <c r="Q28" s="62"/>
      <c r="R28" s="62"/>
      <c r="S28" s="62"/>
      <c r="T28" s="62"/>
      <c r="U28" s="62"/>
    </row>
    <row r="29" spans="1:21" s="68" customFormat="1" ht="15.75" thickBot="1" x14ac:dyDescent="0.3">
      <c r="A29" s="102" t="s">
        <v>24</v>
      </c>
      <c r="B29" s="102" t="s">
        <v>26</v>
      </c>
      <c r="C29" s="102" t="s">
        <v>81</v>
      </c>
      <c r="D29" s="102" t="s">
        <v>78</v>
      </c>
      <c r="E29" s="102" t="s">
        <v>21</v>
      </c>
      <c r="F29" s="102" t="s">
        <v>76</v>
      </c>
      <c r="G29" s="102" t="s">
        <v>77</v>
      </c>
      <c r="H29" s="102" t="s">
        <v>79</v>
      </c>
      <c r="I29" s="102" t="s">
        <v>35</v>
      </c>
      <c r="J29" s="102" t="s">
        <v>62</v>
      </c>
      <c r="K29" s="102" t="s">
        <v>69</v>
      </c>
      <c r="L29" s="102" t="s">
        <v>63</v>
      </c>
      <c r="M29" s="67"/>
      <c r="N29" s="67"/>
      <c r="O29" s="67"/>
      <c r="P29" s="67"/>
      <c r="Q29" s="67"/>
      <c r="R29" s="67"/>
      <c r="S29" s="67"/>
      <c r="T29" s="67"/>
      <c r="U29" s="67"/>
    </row>
    <row r="30" spans="1:21" ht="15.75" thickBot="1" x14ac:dyDescent="0.3">
      <c r="A30" s="80" t="s">
        <v>80</v>
      </c>
      <c r="B30" s="81"/>
      <c r="C30" s="82"/>
      <c r="D30" s="29">
        <v>0</v>
      </c>
      <c r="E30" s="17">
        <v>0</v>
      </c>
      <c r="F30" s="74">
        <f>D30*E30</f>
        <v>0</v>
      </c>
      <c r="G30" s="29">
        <v>0</v>
      </c>
      <c r="H30" s="17">
        <v>0</v>
      </c>
      <c r="I30" s="71">
        <v>0</v>
      </c>
      <c r="J30" s="92" t="s">
        <v>71</v>
      </c>
      <c r="K30" s="131">
        <v>0</v>
      </c>
      <c r="L30" s="114">
        <f>F30+I30+K30</f>
        <v>0</v>
      </c>
    </row>
    <row r="31" spans="1:21" ht="15.75" thickBot="1" x14ac:dyDescent="0.3">
      <c r="A31" s="83" t="s">
        <v>80</v>
      </c>
      <c r="B31" s="28"/>
      <c r="C31" s="84"/>
      <c r="D31" s="30">
        <v>0</v>
      </c>
      <c r="E31" s="18">
        <v>0</v>
      </c>
      <c r="F31" s="74">
        <f t="shared" ref="F31:F34" si="4">D31*E31</f>
        <v>0</v>
      </c>
      <c r="G31" s="30">
        <v>0</v>
      </c>
      <c r="H31" s="18">
        <v>0</v>
      </c>
      <c r="I31" s="71">
        <f t="shared" ref="I31:I34" si="5">G31*H31</f>
        <v>0</v>
      </c>
      <c r="J31" s="83"/>
      <c r="K31" s="121">
        <v>0</v>
      </c>
      <c r="L31" s="114">
        <f t="shared" ref="L31:L33" si="6">F31+I31+K31</f>
        <v>0</v>
      </c>
    </row>
    <row r="32" spans="1:21" ht="15.75" thickBot="1" x14ac:dyDescent="0.3">
      <c r="A32" s="83" t="s">
        <v>80</v>
      </c>
      <c r="B32" s="28"/>
      <c r="C32" s="84"/>
      <c r="D32" s="30">
        <v>0</v>
      </c>
      <c r="E32" s="18">
        <v>0</v>
      </c>
      <c r="F32" s="74">
        <f t="shared" si="4"/>
        <v>0</v>
      </c>
      <c r="G32" s="30">
        <v>0</v>
      </c>
      <c r="H32" s="18">
        <v>0</v>
      </c>
      <c r="I32" s="71">
        <f t="shared" si="5"/>
        <v>0</v>
      </c>
      <c r="J32" s="83"/>
      <c r="K32" s="121">
        <v>0</v>
      </c>
      <c r="L32" s="114">
        <f t="shared" si="6"/>
        <v>0</v>
      </c>
    </row>
    <row r="33" spans="1:21" ht="15.75" thickBot="1" x14ac:dyDescent="0.3">
      <c r="A33" s="83"/>
      <c r="B33" s="28"/>
      <c r="C33" s="84"/>
      <c r="D33" s="30">
        <v>0</v>
      </c>
      <c r="E33" s="18">
        <v>0</v>
      </c>
      <c r="F33" s="74">
        <f t="shared" si="4"/>
        <v>0</v>
      </c>
      <c r="G33" s="30">
        <v>0</v>
      </c>
      <c r="H33" s="18">
        <v>0</v>
      </c>
      <c r="I33" s="71">
        <f t="shared" si="5"/>
        <v>0</v>
      </c>
      <c r="J33" s="83"/>
      <c r="K33" s="121">
        <v>0</v>
      </c>
      <c r="L33" s="114">
        <f t="shared" si="6"/>
        <v>0</v>
      </c>
    </row>
    <row r="34" spans="1:21" x14ac:dyDescent="0.25">
      <c r="A34" s="83"/>
      <c r="B34" s="28"/>
      <c r="C34" s="84"/>
      <c r="D34" s="30">
        <v>0</v>
      </c>
      <c r="E34" s="18">
        <v>0</v>
      </c>
      <c r="F34" s="74">
        <f t="shared" si="4"/>
        <v>0</v>
      </c>
      <c r="G34" s="30">
        <v>0</v>
      </c>
      <c r="H34" s="18">
        <v>0</v>
      </c>
      <c r="I34" s="71">
        <f t="shared" si="5"/>
        <v>0</v>
      </c>
      <c r="J34" s="83"/>
      <c r="K34" s="121">
        <v>0</v>
      </c>
      <c r="L34" s="114">
        <f>F34+I34+K34</f>
        <v>0</v>
      </c>
    </row>
    <row r="35" spans="1:21" ht="15.75" thickBot="1" x14ac:dyDescent="0.3">
      <c r="A35" s="167" t="s">
        <v>25</v>
      </c>
      <c r="B35" s="168"/>
      <c r="C35" s="169"/>
      <c r="D35" s="31">
        <f>SUM(D30:D34)</f>
        <v>0</v>
      </c>
      <c r="E35" s="31"/>
      <c r="F35" s="73">
        <f>SUM(F30:F34)</f>
        <v>0</v>
      </c>
      <c r="G35" s="31">
        <f>SUM(G30:G34)</f>
        <v>0</v>
      </c>
      <c r="H35" s="32"/>
      <c r="I35" s="72">
        <f>SUM(I30:I34)</f>
        <v>0</v>
      </c>
      <c r="J35" s="85"/>
      <c r="K35" s="126">
        <f>SUM(K30:K34)</f>
        <v>0</v>
      </c>
      <c r="L35" s="115">
        <f>SUM(L30:L34)</f>
        <v>0</v>
      </c>
    </row>
    <row r="36" spans="1:21" x14ac:dyDescent="0.25">
      <c r="A36" s="10"/>
      <c r="B36" s="10"/>
      <c r="C36" s="10"/>
      <c r="D36" s="10"/>
      <c r="E36" s="10"/>
      <c r="F36" s="10"/>
      <c r="G36" s="10"/>
      <c r="H36" s="10"/>
      <c r="I36" s="10"/>
      <c r="K36" s="127"/>
    </row>
    <row r="38" spans="1:21" s="1" customFormat="1" ht="15.75" x14ac:dyDescent="0.25">
      <c r="A38" s="2" t="s">
        <v>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62"/>
      <c r="N38" s="62"/>
      <c r="O38" s="62"/>
      <c r="P38" s="62"/>
      <c r="Q38" s="62"/>
      <c r="R38" s="62"/>
      <c r="S38" s="62"/>
      <c r="T38" s="62"/>
      <c r="U38" s="62"/>
    </row>
    <row r="39" spans="1:21" s="68" customFormat="1" ht="15.75" thickBot="1" x14ac:dyDescent="0.3">
      <c r="A39" s="102" t="s">
        <v>7</v>
      </c>
      <c r="B39" s="102" t="s">
        <v>29</v>
      </c>
      <c r="C39" s="158" t="s">
        <v>31</v>
      </c>
      <c r="D39" s="159"/>
      <c r="E39" s="159"/>
      <c r="F39" s="64" t="s">
        <v>37</v>
      </c>
      <c r="G39" s="39" t="s">
        <v>36</v>
      </c>
      <c r="H39" s="65" t="s">
        <v>32</v>
      </c>
      <c r="I39" s="102" t="s">
        <v>68</v>
      </c>
      <c r="J39" s="102" t="s">
        <v>64</v>
      </c>
      <c r="K39" s="102" t="s">
        <v>69</v>
      </c>
      <c r="L39" s="102" t="s">
        <v>65</v>
      </c>
      <c r="M39" s="67"/>
      <c r="N39" s="67"/>
      <c r="O39" s="67"/>
      <c r="P39" s="67"/>
      <c r="Q39" s="67"/>
      <c r="R39" s="67"/>
      <c r="S39" s="67"/>
      <c r="T39" s="67"/>
      <c r="U39" s="67"/>
    </row>
    <row r="40" spans="1:21" ht="16.5" thickBot="1" x14ac:dyDescent="0.3">
      <c r="A40" s="88" t="s">
        <v>27</v>
      </c>
      <c r="B40" s="81" t="s">
        <v>30</v>
      </c>
      <c r="C40" s="160"/>
      <c r="D40" s="161"/>
      <c r="E40" s="161"/>
      <c r="F40" s="40" t="s">
        <v>38</v>
      </c>
      <c r="G40" s="43">
        <v>0</v>
      </c>
      <c r="H40" s="37">
        <v>0</v>
      </c>
      <c r="I40" s="71">
        <f>G40*H40</f>
        <v>0</v>
      </c>
      <c r="J40" s="92" t="s">
        <v>71</v>
      </c>
      <c r="K40" s="119">
        <v>0</v>
      </c>
      <c r="L40" s="114">
        <f>I40+K40</f>
        <v>0</v>
      </c>
    </row>
    <row r="41" spans="1:21" ht="16.5" thickBot="1" x14ac:dyDescent="0.3">
      <c r="A41" s="89" t="s">
        <v>28</v>
      </c>
      <c r="B41" s="28"/>
      <c r="C41" s="162"/>
      <c r="D41" s="163"/>
      <c r="E41" s="163"/>
      <c r="F41" s="41"/>
      <c r="G41" s="44">
        <v>0</v>
      </c>
      <c r="H41" s="46">
        <v>0</v>
      </c>
      <c r="I41" s="71">
        <f t="shared" ref="I41:I44" si="7">G41*H41</f>
        <v>0</v>
      </c>
      <c r="J41" s="83"/>
      <c r="K41" s="120">
        <v>0</v>
      </c>
      <c r="L41" s="114">
        <f t="shared" ref="L41:L44" si="8">I41+K41</f>
        <v>0</v>
      </c>
    </row>
    <row r="42" spans="1:21" ht="16.5" thickBot="1" x14ac:dyDescent="0.3">
      <c r="A42" s="89" t="s">
        <v>28</v>
      </c>
      <c r="B42" s="28"/>
      <c r="C42" s="162"/>
      <c r="D42" s="163"/>
      <c r="E42" s="163"/>
      <c r="F42" s="41"/>
      <c r="G42" s="44">
        <v>0</v>
      </c>
      <c r="H42" s="46">
        <v>0</v>
      </c>
      <c r="I42" s="71">
        <f t="shared" si="7"/>
        <v>0</v>
      </c>
      <c r="J42" s="83"/>
      <c r="K42" s="120">
        <v>0</v>
      </c>
      <c r="L42" s="114">
        <f t="shared" si="8"/>
        <v>0</v>
      </c>
    </row>
    <row r="43" spans="1:21" ht="16.5" thickBot="1" x14ac:dyDescent="0.3">
      <c r="A43" s="89" t="s">
        <v>28</v>
      </c>
      <c r="B43" s="28"/>
      <c r="C43" s="162"/>
      <c r="D43" s="163"/>
      <c r="E43" s="163"/>
      <c r="F43" s="41"/>
      <c r="G43" s="44">
        <v>0</v>
      </c>
      <c r="H43" s="46">
        <v>0</v>
      </c>
      <c r="I43" s="71">
        <f t="shared" si="7"/>
        <v>0</v>
      </c>
      <c r="J43" s="83"/>
      <c r="K43" s="120">
        <v>0</v>
      </c>
      <c r="L43" s="114">
        <f t="shared" si="8"/>
        <v>0</v>
      </c>
    </row>
    <row r="44" spans="1:21" ht="16.5" thickBot="1" x14ac:dyDescent="0.3">
      <c r="A44" s="89" t="s">
        <v>28</v>
      </c>
      <c r="B44" s="28"/>
      <c r="C44" s="162"/>
      <c r="D44" s="163"/>
      <c r="E44" s="163"/>
      <c r="F44" s="41"/>
      <c r="G44" s="44">
        <v>0</v>
      </c>
      <c r="H44" s="46">
        <v>0</v>
      </c>
      <c r="I44" s="71">
        <f t="shared" si="7"/>
        <v>0</v>
      </c>
      <c r="J44" s="83"/>
      <c r="K44" s="120">
        <v>0</v>
      </c>
      <c r="L44" s="114">
        <f t="shared" si="8"/>
        <v>0</v>
      </c>
    </row>
    <row r="45" spans="1:21" ht="16.5" thickBot="1" x14ac:dyDescent="0.3">
      <c r="A45" s="140" t="s">
        <v>25</v>
      </c>
      <c r="B45" s="141"/>
      <c r="C45" s="141"/>
      <c r="D45" s="141"/>
      <c r="E45" s="141"/>
      <c r="F45" s="42"/>
      <c r="G45" s="45"/>
      <c r="H45" s="38"/>
      <c r="I45" s="97">
        <f>SUM(I40:I44)</f>
        <v>0</v>
      </c>
      <c r="J45" s="85"/>
      <c r="K45" s="132">
        <f>SUM(K40:K44)</f>
        <v>0</v>
      </c>
      <c r="L45" s="115">
        <f>SUM(L40:L44)</f>
        <v>0</v>
      </c>
    </row>
    <row r="48" spans="1:21" s="1" customFormat="1" ht="15.75" x14ac:dyDescent="0.25">
      <c r="A48" s="2" t="s">
        <v>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62"/>
      <c r="N48" s="62"/>
      <c r="O48" s="62"/>
      <c r="P48" s="62"/>
      <c r="Q48" s="62"/>
      <c r="R48" s="62"/>
      <c r="S48" s="62"/>
      <c r="T48" s="62"/>
      <c r="U48" s="62"/>
    </row>
    <row r="49" spans="1:21" s="68" customFormat="1" ht="15.75" thickBot="1" x14ac:dyDescent="0.3">
      <c r="A49" s="102" t="s">
        <v>39</v>
      </c>
      <c r="B49" s="102" t="s">
        <v>42</v>
      </c>
      <c r="C49" s="102" t="s">
        <v>43</v>
      </c>
      <c r="D49" s="102" t="s">
        <v>44</v>
      </c>
      <c r="E49" s="102" t="s">
        <v>48</v>
      </c>
      <c r="F49" s="102" t="s">
        <v>45</v>
      </c>
      <c r="G49" s="102" t="s">
        <v>46</v>
      </c>
      <c r="H49" s="102" t="s">
        <v>47</v>
      </c>
      <c r="I49" s="102" t="s">
        <v>20</v>
      </c>
      <c r="J49" s="102" t="s">
        <v>66</v>
      </c>
      <c r="K49" s="102" t="s">
        <v>69</v>
      </c>
      <c r="L49" s="102" t="s">
        <v>67</v>
      </c>
      <c r="M49" s="67"/>
      <c r="N49" s="67"/>
      <c r="O49" s="67"/>
      <c r="P49" s="67"/>
      <c r="Q49" s="67"/>
      <c r="R49" s="67"/>
      <c r="S49" s="67"/>
      <c r="T49" s="67"/>
      <c r="U49" s="67"/>
    </row>
    <row r="50" spans="1:21" ht="15.75" thickBot="1" x14ac:dyDescent="0.3">
      <c r="A50" s="80" t="s">
        <v>40</v>
      </c>
      <c r="B50" s="81" t="s">
        <v>49</v>
      </c>
      <c r="C50" s="81" t="s">
        <v>50</v>
      </c>
      <c r="D50" s="90">
        <v>44429</v>
      </c>
      <c r="E50" s="91">
        <v>44432</v>
      </c>
      <c r="F50" s="17">
        <v>0</v>
      </c>
      <c r="G50" s="17">
        <v>0</v>
      </c>
      <c r="H50" s="50">
        <v>0</v>
      </c>
      <c r="I50" s="69">
        <f>F50+G50+H50</f>
        <v>0</v>
      </c>
      <c r="J50" s="99"/>
      <c r="K50" s="98">
        <v>0</v>
      </c>
      <c r="L50" s="116">
        <f>I50+K50</f>
        <v>0</v>
      </c>
    </row>
    <row r="51" spans="1:21" ht="15.75" thickBot="1" x14ac:dyDescent="0.3">
      <c r="A51" s="83" t="s">
        <v>41</v>
      </c>
      <c r="B51" s="28"/>
      <c r="C51" s="28"/>
      <c r="D51" s="28"/>
      <c r="E51" s="84"/>
      <c r="F51" s="18">
        <v>0</v>
      </c>
      <c r="G51" s="18">
        <v>0</v>
      </c>
      <c r="H51" s="51">
        <v>0</v>
      </c>
      <c r="I51" s="69">
        <f t="shared" ref="I51:I55" si="9">F51+G51+H51</f>
        <v>0</v>
      </c>
      <c r="J51" s="83"/>
      <c r="K51" s="93">
        <v>0</v>
      </c>
      <c r="L51" s="116">
        <f t="shared" ref="L51:L55" si="10">I51+K51</f>
        <v>0</v>
      </c>
    </row>
    <row r="52" spans="1:21" ht="15.75" thickBot="1" x14ac:dyDescent="0.3">
      <c r="A52" s="83" t="s">
        <v>40</v>
      </c>
      <c r="B52" s="28"/>
      <c r="C52" s="28"/>
      <c r="D52" s="28"/>
      <c r="E52" s="84"/>
      <c r="F52" s="18">
        <v>0</v>
      </c>
      <c r="G52" s="18">
        <v>0</v>
      </c>
      <c r="H52" s="51">
        <v>0</v>
      </c>
      <c r="I52" s="69">
        <f t="shared" si="9"/>
        <v>0</v>
      </c>
      <c r="J52" s="83"/>
      <c r="K52" s="93">
        <v>0</v>
      </c>
      <c r="L52" s="116">
        <f t="shared" si="10"/>
        <v>0</v>
      </c>
    </row>
    <row r="53" spans="1:21" ht="15.75" thickBot="1" x14ac:dyDescent="0.3">
      <c r="A53" s="83" t="s">
        <v>40</v>
      </c>
      <c r="B53" s="28"/>
      <c r="C53" s="28"/>
      <c r="D53" s="28"/>
      <c r="E53" s="84"/>
      <c r="F53" s="18">
        <v>0</v>
      </c>
      <c r="G53" s="18">
        <v>0</v>
      </c>
      <c r="H53" s="51">
        <v>0</v>
      </c>
      <c r="I53" s="69">
        <f t="shared" si="9"/>
        <v>0</v>
      </c>
      <c r="J53" s="83"/>
      <c r="K53" s="93">
        <v>0</v>
      </c>
      <c r="L53" s="116">
        <f t="shared" si="10"/>
        <v>0</v>
      </c>
    </row>
    <row r="54" spans="1:21" ht="15.75" thickBot="1" x14ac:dyDescent="0.3">
      <c r="A54" s="83" t="s">
        <v>40</v>
      </c>
      <c r="B54" s="28"/>
      <c r="C54" s="28"/>
      <c r="D54" s="28"/>
      <c r="E54" s="84"/>
      <c r="F54" s="18">
        <v>0</v>
      </c>
      <c r="G54" s="18">
        <v>0</v>
      </c>
      <c r="H54" s="51">
        <v>0</v>
      </c>
      <c r="I54" s="69">
        <f t="shared" si="9"/>
        <v>0</v>
      </c>
      <c r="J54" s="83"/>
      <c r="K54" s="93">
        <v>0</v>
      </c>
      <c r="L54" s="116">
        <f t="shared" si="10"/>
        <v>0</v>
      </c>
    </row>
    <row r="55" spans="1:21" ht="15.75" thickBot="1" x14ac:dyDescent="0.3">
      <c r="A55" s="85"/>
      <c r="B55" s="86"/>
      <c r="C55" s="86"/>
      <c r="D55" s="86"/>
      <c r="E55" s="87"/>
      <c r="F55" s="19">
        <v>0</v>
      </c>
      <c r="G55" s="19">
        <v>0</v>
      </c>
      <c r="H55" s="52">
        <v>0</v>
      </c>
      <c r="I55" s="69">
        <f t="shared" si="9"/>
        <v>0</v>
      </c>
      <c r="J55" s="85"/>
      <c r="K55" s="100">
        <v>0</v>
      </c>
      <c r="L55" s="116">
        <f t="shared" si="10"/>
        <v>0</v>
      </c>
    </row>
    <row r="56" spans="1:21" x14ac:dyDescent="0.25">
      <c r="A56" s="49"/>
      <c r="B56" s="49"/>
      <c r="C56" s="49"/>
      <c r="D56" s="49"/>
      <c r="E56" s="49"/>
      <c r="F56" s="48"/>
      <c r="G56" s="49"/>
      <c r="H56" s="53"/>
      <c r="I56" s="70"/>
      <c r="J56" s="49"/>
      <c r="K56" s="48"/>
      <c r="L56" s="117"/>
    </row>
    <row r="57" spans="1:21" s="1" customFormat="1" x14ac:dyDescent="0.25">
      <c r="A57" s="146" t="s">
        <v>19</v>
      </c>
      <c r="B57" s="147"/>
      <c r="C57" s="147"/>
      <c r="D57" s="147"/>
      <c r="E57" s="148"/>
      <c r="F57" s="47">
        <f>SUM(F50:F56)</f>
        <v>0</v>
      </c>
      <c r="G57" s="47">
        <f>SUM(G50:G56)</f>
        <v>0</v>
      </c>
      <c r="H57" s="47">
        <f>SUM(H50:H56)</f>
        <v>0</v>
      </c>
      <c r="I57" s="47">
        <f>SUM(I50:I56)</f>
        <v>0</v>
      </c>
      <c r="J57" s="47"/>
      <c r="K57" s="133">
        <f>SUM(K50:K56)</f>
        <v>0</v>
      </c>
      <c r="L57" s="118">
        <f>SUM(L50:L56)</f>
        <v>0</v>
      </c>
    </row>
    <row r="58" spans="1:21" x14ac:dyDescent="0.25">
      <c r="A58" s="1"/>
      <c r="B58" s="1"/>
      <c r="C58" s="1"/>
      <c r="D58" s="1"/>
      <c r="E58" s="1"/>
    </row>
    <row r="60" spans="1:21" x14ac:dyDescent="0.25">
      <c r="A60" s="125" t="s">
        <v>82</v>
      </c>
    </row>
  </sheetData>
  <mergeCells count="20">
    <mergeCell ref="A35:C35"/>
    <mergeCell ref="A1:C1"/>
    <mergeCell ref="B2:C2"/>
    <mergeCell ref="B3:C3"/>
    <mergeCell ref="B4:C4"/>
    <mergeCell ref="B5:C5"/>
    <mergeCell ref="B6:C6"/>
    <mergeCell ref="B7:C7"/>
    <mergeCell ref="B8:C8"/>
    <mergeCell ref="A11:L11"/>
    <mergeCell ref="A12:L12"/>
    <mergeCell ref="A26:C26"/>
    <mergeCell ref="A45:E45"/>
    <mergeCell ref="A57:E57"/>
    <mergeCell ref="C39:E39"/>
    <mergeCell ref="C40:E40"/>
    <mergeCell ref="C41:E41"/>
    <mergeCell ref="C42:E42"/>
    <mergeCell ref="C43:E43"/>
    <mergeCell ref="C44:E4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9B37-AE48-490D-9759-0E3E8BCC5ADD}">
  <dimension ref="A1:U60"/>
  <sheetViews>
    <sheetView workbookViewId="0">
      <selection activeCell="F6" sqref="F6"/>
    </sheetView>
  </sheetViews>
  <sheetFormatPr defaultRowHeight="15" x14ac:dyDescent="0.25"/>
  <cols>
    <col min="1" max="1" width="25.5703125" customWidth="1"/>
    <col min="2" max="2" width="23.140625" customWidth="1"/>
    <col min="3" max="3" width="12.5703125" customWidth="1"/>
    <col min="4" max="4" width="14.7109375" customWidth="1"/>
    <col min="5" max="5" width="12.85546875" customWidth="1"/>
    <col min="6" max="6" width="15.42578125" customWidth="1"/>
    <col min="7" max="7" width="13.7109375" customWidth="1"/>
    <col min="8" max="8" width="12.85546875" customWidth="1"/>
    <col min="9" max="9" width="12.5703125" customWidth="1"/>
    <col min="10" max="10" width="20.28515625" customWidth="1"/>
    <col min="11" max="11" width="15.42578125" customWidth="1"/>
    <col min="12" max="12" width="21" customWidth="1"/>
  </cols>
  <sheetData>
    <row r="1" spans="1:21" ht="15.75" x14ac:dyDescent="0.25">
      <c r="A1" s="144" t="s">
        <v>59</v>
      </c>
      <c r="B1" s="145"/>
      <c r="C1" s="145"/>
      <c r="D1" s="7"/>
    </row>
    <row r="2" spans="1:21" x14ac:dyDescent="0.25">
      <c r="A2" s="21" t="s">
        <v>2</v>
      </c>
      <c r="B2" s="152" t="s">
        <v>54</v>
      </c>
      <c r="C2" s="153"/>
      <c r="K2" s="124"/>
    </row>
    <row r="3" spans="1:21" x14ac:dyDescent="0.25">
      <c r="A3" s="20" t="s">
        <v>1</v>
      </c>
      <c r="B3" s="154" t="s">
        <v>55</v>
      </c>
      <c r="C3" s="155"/>
      <c r="D3" s="55"/>
      <c r="K3" s="124"/>
    </row>
    <row r="4" spans="1:21" x14ac:dyDescent="0.25">
      <c r="A4" s="20" t="s">
        <v>3</v>
      </c>
      <c r="B4" s="154" t="s">
        <v>56</v>
      </c>
      <c r="C4" s="155"/>
      <c r="D4" s="55"/>
      <c r="K4" s="124"/>
    </row>
    <row r="5" spans="1:21" x14ac:dyDescent="0.25">
      <c r="A5" s="20" t="s">
        <v>0</v>
      </c>
      <c r="B5" s="154" t="s">
        <v>57</v>
      </c>
      <c r="C5" s="155"/>
      <c r="D5" s="55"/>
      <c r="K5" s="124"/>
    </row>
    <row r="6" spans="1:21" x14ac:dyDescent="0.25">
      <c r="A6" s="20" t="s">
        <v>18</v>
      </c>
      <c r="B6" s="156" t="s">
        <v>58</v>
      </c>
      <c r="C6" s="157"/>
      <c r="D6" s="55"/>
      <c r="K6" s="124"/>
    </row>
    <row r="7" spans="1:21" x14ac:dyDescent="0.25">
      <c r="A7" s="123" t="s">
        <v>51</v>
      </c>
      <c r="B7" s="170">
        <f>L26+L35+L45+L57</f>
        <v>0</v>
      </c>
      <c r="C7" s="171"/>
      <c r="D7" s="55"/>
    </row>
    <row r="8" spans="1:21" x14ac:dyDescent="0.25">
      <c r="A8" s="122" t="s">
        <v>4</v>
      </c>
      <c r="B8" s="138">
        <f>K26+K35+K45+K57</f>
        <v>0</v>
      </c>
      <c r="C8" s="139"/>
      <c r="D8" s="56" t="s">
        <v>71</v>
      </c>
    </row>
    <row r="9" spans="1:21" s="96" customFormat="1" x14ac:dyDescent="0.25">
      <c r="A9" s="61"/>
      <c r="B9" s="94"/>
      <c r="C9" s="95"/>
      <c r="D9" s="56"/>
    </row>
    <row r="10" spans="1:21" ht="11.25" customHeight="1" x14ac:dyDescent="0.25">
      <c r="A10" s="61"/>
      <c r="B10" s="9"/>
      <c r="C10" s="9"/>
      <c r="D10" s="56"/>
    </row>
    <row r="11" spans="1:21" s="96" customFormat="1" ht="21.75" customHeight="1" x14ac:dyDescent="0.25">
      <c r="A11" s="142" t="s">
        <v>72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</row>
    <row r="12" spans="1:21" x14ac:dyDescent="0.25">
      <c r="A12" s="149" t="s">
        <v>85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1"/>
    </row>
    <row r="13" spans="1:21" s="1" customFormat="1" ht="15.75" x14ac:dyDescent="0.25">
      <c r="A13" s="2" t="s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62"/>
      <c r="N13" s="62"/>
      <c r="O13" s="62"/>
      <c r="P13" s="62"/>
      <c r="Q13" s="62"/>
      <c r="R13" s="62"/>
      <c r="S13" s="62"/>
      <c r="T13" s="62"/>
      <c r="U13" s="62"/>
    </row>
    <row r="14" spans="1:21" s="5" customFormat="1" ht="16.5" thickBot="1" x14ac:dyDescent="0.3">
      <c r="A14" s="4" t="s">
        <v>5</v>
      </c>
      <c r="B14" s="4" t="s">
        <v>13</v>
      </c>
      <c r="C14" s="4" t="s">
        <v>16</v>
      </c>
      <c r="D14" s="4" t="s">
        <v>17</v>
      </c>
      <c r="E14" s="54" t="s">
        <v>21</v>
      </c>
      <c r="F14" s="4" t="s">
        <v>33</v>
      </c>
      <c r="G14" s="4" t="s">
        <v>23</v>
      </c>
      <c r="H14" s="4" t="s">
        <v>22</v>
      </c>
      <c r="I14" s="4" t="s">
        <v>34</v>
      </c>
      <c r="J14" s="4" t="s">
        <v>61</v>
      </c>
      <c r="K14" s="4" t="s">
        <v>60</v>
      </c>
      <c r="L14" s="4" t="s">
        <v>53</v>
      </c>
      <c r="M14" s="63"/>
      <c r="N14" s="63"/>
      <c r="O14" s="63"/>
      <c r="P14" s="63"/>
      <c r="Q14" s="63"/>
      <c r="R14" s="63"/>
      <c r="S14" s="63"/>
      <c r="T14" s="63"/>
      <c r="U14" s="63"/>
    </row>
    <row r="15" spans="1:21" ht="15.75" thickBot="1" x14ac:dyDescent="0.3">
      <c r="A15" s="23" t="s">
        <v>11</v>
      </c>
      <c r="B15" s="75" t="s">
        <v>14</v>
      </c>
      <c r="C15" s="76" t="s">
        <v>73</v>
      </c>
      <c r="D15" s="11">
        <v>0</v>
      </c>
      <c r="E15" s="14">
        <v>0</v>
      </c>
      <c r="F15" s="57">
        <f t="shared" ref="F15:F24" si="0">D15*E15</f>
        <v>0</v>
      </c>
      <c r="G15" s="26">
        <v>0</v>
      </c>
      <c r="H15" s="14">
        <v>0</v>
      </c>
      <c r="I15" s="103">
        <f>G15*H15</f>
        <v>0</v>
      </c>
      <c r="J15" s="106">
        <v>0</v>
      </c>
      <c r="K15" s="128">
        <f>D15*J15</f>
        <v>0</v>
      </c>
      <c r="L15" s="110">
        <f>F15+I15+K15</f>
        <v>0</v>
      </c>
    </row>
    <row r="16" spans="1:21" ht="15.75" thickBot="1" x14ac:dyDescent="0.3">
      <c r="A16" s="24" t="s">
        <v>11</v>
      </c>
      <c r="B16" s="6" t="s">
        <v>14</v>
      </c>
      <c r="C16" s="77" t="s">
        <v>73</v>
      </c>
      <c r="D16" s="12">
        <v>0</v>
      </c>
      <c r="E16" s="15">
        <v>0</v>
      </c>
      <c r="F16" s="58">
        <f t="shared" si="0"/>
        <v>0</v>
      </c>
      <c r="G16" s="27">
        <v>0</v>
      </c>
      <c r="H16" s="15">
        <v>0</v>
      </c>
      <c r="I16" s="103">
        <f t="shared" ref="I16:I24" si="1">G16*H16</f>
        <v>0</v>
      </c>
      <c r="J16" s="107">
        <v>0</v>
      </c>
      <c r="K16" s="129">
        <f t="shared" ref="K16:K24" si="2">D16*J16</f>
        <v>0</v>
      </c>
      <c r="L16" s="111">
        <f t="shared" ref="L16:L25" si="3">F16+I16+K16</f>
        <v>0</v>
      </c>
    </row>
    <row r="17" spans="1:21" ht="15.75" thickBot="1" x14ac:dyDescent="0.3">
      <c r="A17" s="24" t="s">
        <v>11</v>
      </c>
      <c r="B17" s="6" t="s">
        <v>14</v>
      </c>
      <c r="C17" s="77"/>
      <c r="D17" s="12">
        <v>0</v>
      </c>
      <c r="E17" s="15">
        <v>0</v>
      </c>
      <c r="F17" s="58">
        <f t="shared" si="0"/>
        <v>0</v>
      </c>
      <c r="G17" s="27">
        <v>0</v>
      </c>
      <c r="H17" s="15">
        <v>0</v>
      </c>
      <c r="I17" s="103">
        <f t="shared" si="1"/>
        <v>0</v>
      </c>
      <c r="J17" s="107">
        <v>0</v>
      </c>
      <c r="K17" s="129">
        <f t="shared" si="2"/>
        <v>0</v>
      </c>
      <c r="L17" s="111">
        <f t="shared" si="3"/>
        <v>0</v>
      </c>
    </row>
    <row r="18" spans="1:21" ht="15.75" thickBot="1" x14ac:dyDescent="0.3">
      <c r="A18" s="24" t="s">
        <v>11</v>
      </c>
      <c r="B18" s="6" t="s">
        <v>14</v>
      </c>
      <c r="C18" s="77"/>
      <c r="D18" s="12">
        <v>0</v>
      </c>
      <c r="E18" s="15">
        <v>0</v>
      </c>
      <c r="F18" s="58">
        <f t="shared" si="0"/>
        <v>0</v>
      </c>
      <c r="G18" s="27">
        <v>0</v>
      </c>
      <c r="H18" s="15">
        <v>0</v>
      </c>
      <c r="I18" s="103">
        <f t="shared" si="1"/>
        <v>0</v>
      </c>
      <c r="J18" s="107">
        <v>0</v>
      </c>
      <c r="K18" s="129">
        <f t="shared" si="2"/>
        <v>0</v>
      </c>
      <c r="L18" s="111">
        <f t="shared" si="3"/>
        <v>0</v>
      </c>
    </row>
    <row r="19" spans="1:21" ht="15.75" thickBot="1" x14ac:dyDescent="0.3">
      <c r="A19" s="24" t="s">
        <v>12</v>
      </c>
      <c r="B19" s="6" t="s">
        <v>15</v>
      </c>
      <c r="C19" s="77"/>
      <c r="D19" s="12">
        <v>0</v>
      </c>
      <c r="E19" s="15">
        <v>0</v>
      </c>
      <c r="F19" s="58">
        <f t="shared" si="0"/>
        <v>0</v>
      </c>
      <c r="G19" s="27">
        <v>0</v>
      </c>
      <c r="H19" s="15">
        <v>0</v>
      </c>
      <c r="I19" s="103">
        <f t="shared" si="1"/>
        <v>0</v>
      </c>
      <c r="J19" s="107">
        <v>0</v>
      </c>
      <c r="K19" s="129">
        <f t="shared" si="2"/>
        <v>0</v>
      </c>
      <c r="L19" s="111">
        <f t="shared" si="3"/>
        <v>0</v>
      </c>
    </row>
    <row r="20" spans="1:21" ht="15.75" thickBot="1" x14ac:dyDescent="0.3">
      <c r="A20" s="24" t="s">
        <v>12</v>
      </c>
      <c r="B20" s="6" t="s">
        <v>15</v>
      </c>
      <c r="C20" s="77"/>
      <c r="D20" s="12">
        <v>0</v>
      </c>
      <c r="E20" s="15">
        <v>0</v>
      </c>
      <c r="F20" s="58">
        <f t="shared" si="0"/>
        <v>0</v>
      </c>
      <c r="G20" s="27">
        <v>0</v>
      </c>
      <c r="H20" s="15">
        <v>0</v>
      </c>
      <c r="I20" s="103">
        <f t="shared" si="1"/>
        <v>0</v>
      </c>
      <c r="J20" s="107">
        <v>0</v>
      </c>
      <c r="K20" s="129">
        <f t="shared" si="2"/>
        <v>0</v>
      </c>
      <c r="L20" s="111">
        <f t="shared" si="3"/>
        <v>0</v>
      </c>
    </row>
    <row r="21" spans="1:21" ht="15.75" thickBot="1" x14ac:dyDescent="0.3">
      <c r="A21" s="24"/>
      <c r="B21" s="6"/>
      <c r="C21" s="77"/>
      <c r="D21" s="12">
        <v>0</v>
      </c>
      <c r="E21" s="15">
        <v>0</v>
      </c>
      <c r="F21" s="58">
        <f t="shared" si="0"/>
        <v>0</v>
      </c>
      <c r="G21" s="101">
        <v>0</v>
      </c>
      <c r="H21" s="15">
        <v>0</v>
      </c>
      <c r="I21" s="103">
        <f t="shared" si="1"/>
        <v>0</v>
      </c>
      <c r="J21" s="107">
        <v>0</v>
      </c>
      <c r="K21" s="129">
        <f t="shared" si="2"/>
        <v>0</v>
      </c>
      <c r="L21" s="111">
        <f t="shared" si="3"/>
        <v>0</v>
      </c>
    </row>
    <row r="22" spans="1:21" ht="15.75" thickBot="1" x14ac:dyDescent="0.3">
      <c r="A22" s="24"/>
      <c r="B22" s="6"/>
      <c r="C22" s="77"/>
      <c r="D22" s="12">
        <v>0</v>
      </c>
      <c r="E22" s="15">
        <v>0</v>
      </c>
      <c r="F22" s="58">
        <f t="shared" si="0"/>
        <v>0</v>
      </c>
      <c r="G22" s="101">
        <v>0</v>
      </c>
      <c r="H22" s="15">
        <v>0</v>
      </c>
      <c r="I22" s="103">
        <f t="shared" si="1"/>
        <v>0</v>
      </c>
      <c r="J22" s="107">
        <v>0</v>
      </c>
      <c r="K22" s="129">
        <f t="shared" si="2"/>
        <v>0</v>
      </c>
      <c r="L22" s="111">
        <f t="shared" si="3"/>
        <v>0</v>
      </c>
    </row>
    <row r="23" spans="1:21" ht="15.75" thickBot="1" x14ac:dyDescent="0.3">
      <c r="A23" s="24"/>
      <c r="B23" s="6"/>
      <c r="C23" s="77"/>
      <c r="D23" s="12">
        <v>0</v>
      </c>
      <c r="E23" s="15">
        <v>0</v>
      </c>
      <c r="F23" s="58">
        <f t="shared" si="0"/>
        <v>0</v>
      </c>
      <c r="G23" s="101">
        <v>0</v>
      </c>
      <c r="H23" s="15">
        <v>0</v>
      </c>
      <c r="I23" s="103">
        <f t="shared" si="1"/>
        <v>0</v>
      </c>
      <c r="J23" s="107">
        <v>0</v>
      </c>
      <c r="K23" s="129">
        <f t="shared" si="2"/>
        <v>0</v>
      </c>
      <c r="L23" s="111">
        <f t="shared" si="3"/>
        <v>0</v>
      </c>
    </row>
    <row r="24" spans="1:21" ht="15.75" thickBot="1" x14ac:dyDescent="0.3">
      <c r="A24" s="24" t="s">
        <v>12</v>
      </c>
      <c r="B24" s="6" t="s">
        <v>74</v>
      </c>
      <c r="C24" s="77"/>
      <c r="D24" s="12">
        <v>0</v>
      </c>
      <c r="E24" s="15">
        <v>0</v>
      </c>
      <c r="F24" s="58">
        <f t="shared" si="0"/>
        <v>0</v>
      </c>
      <c r="G24" s="13">
        <v>0</v>
      </c>
      <c r="H24" s="15">
        <v>0</v>
      </c>
      <c r="I24" s="103">
        <f t="shared" si="1"/>
        <v>0</v>
      </c>
      <c r="J24" s="107">
        <v>0</v>
      </c>
      <c r="K24" s="129">
        <f t="shared" si="2"/>
        <v>0</v>
      </c>
      <c r="L24" s="111">
        <f t="shared" si="3"/>
        <v>0</v>
      </c>
    </row>
    <row r="25" spans="1:21" ht="15.75" thickBot="1" x14ac:dyDescent="0.3">
      <c r="A25" s="25"/>
      <c r="B25" s="78"/>
      <c r="C25" s="79"/>
      <c r="D25" s="13"/>
      <c r="E25" s="16"/>
      <c r="F25" s="59"/>
      <c r="G25" s="22"/>
      <c r="H25" s="8"/>
      <c r="I25" s="104"/>
      <c r="J25" s="108"/>
      <c r="K25" s="130"/>
      <c r="L25" s="111">
        <f t="shared" si="3"/>
        <v>0</v>
      </c>
    </row>
    <row r="26" spans="1:21" ht="15.75" thickBot="1" x14ac:dyDescent="0.3">
      <c r="A26" s="164" t="s">
        <v>19</v>
      </c>
      <c r="B26" s="165"/>
      <c r="C26" s="166"/>
      <c r="D26" s="33"/>
      <c r="E26" s="34"/>
      <c r="F26" s="60"/>
      <c r="G26" s="35"/>
      <c r="H26" s="36"/>
      <c r="I26" s="105"/>
      <c r="J26" s="109"/>
      <c r="K26" s="113">
        <f>SUM(K15:K25)</f>
        <v>0</v>
      </c>
      <c r="L26" s="112">
        <f>SUM(L15:L25)</f>
        <v>0</v>
      </c>
    </row>
    <row r="27" spans="1:21" x14ac:dyDescent="0.25">
      <c r="A27" s="9"/>
      <c r="B27" s="9"/>
      <c r="C27" s="9"/>
      <c r="D27" s="10"/>
      <c r="E27" s="10"/>
      <c r="F27" s="10"/>
    </row>
    <row r="28" spans="1:21" s="1" customFormat="1" ht="15.75" x14ac:dyDescent="0.25">
      <c r="A28" s="2" t="s">
        <v>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62"/>
      <c r="N28" s="62"/>
      <c r="O28" s="62"/>
      <c r="P28" s="62"/>
      <c r="Q28" s="62"/>
      <c r="R28" s="62"/>
      <c r="S28" s="62"/>
      <c r="T28" s="62"/>
      <c r="U28" s="62"/>
    </row>
    <row r="29" spans="1:21" s="68" customFormat="1" ht="15.75" thickBot="1" x14ac:dyDescent="0.3">
      <c r="A29" s="102" t="s">
        <v>24</v>
      </c>
      <c r="B29" s="102" t="s">
        <v>26</v>
      </c>
      <c r="C29" s="102" t="s">
        <v>81</v>
      </c>
      <c r="D29" s="102" t="s">
        <v>78</v>
      </c>
      <c r="E29" s="102" t="s">
        <v>21</v>
      </c>
      <c r="F29" s="102" t="s">
        <v>76</v>
      </c>
      <c r="G29" s="102" t="s">
        <v>77</v>
      </c>
      <c r="H29" s="102" t="s">
        <v>79</v>
      </c>
      <c r="I29" s="102" t="s">
        <v>35</v>
      </c>
      <c r="J29" s="102" t="s">
        <v>62</v>
      </c>
      <c r="K29" s="102" t="s">
        <v>69</v>
      </c>
      <c r="L29" s="102" t="s">
        <v>63</v>
      </c>
      <c r="M29" s="67"/>
      <c r="N29" s="67"/>
      <c r="O29" s="67"/>
      <c r="P29" s="67"/>
      <c r="Q29" s="67"/>
      <c r="R29" s="67"/>
      <c r="S29" s="67"/>
      <c r="T29" s="67"/>
      <c r="U29" s="67"/>
    </row>
    <row r="30" spans="1:21" ht="15.75" thickBot="1" x14ac:dyDescent="0.3">
      <c r="A30" s="80" t="s">
        <v>80</v>
      </c>
      <c r="B30" s="81"/>
      <c r="C30" s="82"/>
      <c r="D30" s="29">
        <v>0</v>
      </c>
      <c r="E30" s="17">
        <v>0</v>
      </c>
      <c r="F30" s="74">
        <f>D30*E30</f>
        <v>0</v>
      </c>
      <c r="G30" s="29">
        <v>0</v>
      </c>
      <c r="H30" s="17">
        <v>0</v>
      </c>
      <c r="I30" s="71">
        <v>0</v>
      </c>
      <c r="J30" s="92" t="s">
        <v>71</v>
      </c>
      <c r="K30" s="131">
        <v>0</v>
      </c>
      <c r="L30" s="114">
        <f>F30+I30+K30</f>
        <v>0</v>
      </c>
    </row>
    <row r="31" spans="1:21" ht="15.75" thickBot="1" x14ac:dyDescent="0.3">
      <c r="A31" s="83" t="s">
        <v>80</v>
      </c>
      <c r="B31" s="28"/>
      <c r="C31" s="84"/>
      <c r="D31" s="30">
        <v>0</v>
      </c>
      <c r="E31" s="18">
        <v>0</v>
      </c>
      <c r="F31" s="74">
        <f t="shared" ref="F31:F34" si="4">D31*E31</f>
        <v>0</v>
      </c>
      <c r="G31" s="30">
        <v>0</v>
      </c>
      <c r="H31" s="18">
        <v>0</v>
      </c>
      <c r="I31" s="71">
        <f t="shared" ref="I31:I34" si="5">G31*H31</f>
        <v>0</v>
      </c>
      <c r="J31" s="83"/>
      <c r="K31" s="121">
        <v>0</v>
      </c>
      <c r="L31" s="114">
        <f t="shared" ref="L31:L33" si="6">F31+I31+K31</f>
        <v>0</v>
      </c>
    </row>
    <row r="32" spans="1:21" ht="15.75" thickBot="1" x14ac:dyDescent="0.3">
      <c r="A32" s="83" t="s">
        <v>80</v>
      </c>
      <c r="B32" s="28"/>
      <c r="C32" s="84"/>
      <c r="D32" s="30">
        <v>0</v>
      </c>
      <c r="E32" s="18">
        <v>0</v>
      </c>
      <c r="F32" s="74">
        <f t="shared" si="4"/>
        <v>0</v>
      </c>
      <c r="G32" s="30">
        <v>0</v>
      </c>
      <c r="H32" s="18">
        <v>0</v>
      </c>
      <c r="I32" s="71">
        <f t="shared" si="5"/>
        <v>0</v>
      </c>
      <c r="J32" s="83"/>
      <c r="K32" s="121">
        <v>0</v>
      </c>
      <c r="L32" s="114">
        <f t="shared" si="6"/>
        <v>0</v>
      </c>
    </row>
    <row r="33" spans="1:21" ht="15.75" thickBot="1" x14ac:dyDescent="0.3">
      <c r="A33" s="83"/>
      <c r="B33" s="28"/>
      <c r="C33" s="84"/>
      <c r="D33" s="30">
        <v>0</v>
      </c>
      <c r="E33" s="18">
        <v>0</v>
      </c>
      <c r="F33" s="74">
        <f t="shared" si="4"/>
        <v>0</v>
      </c>
      <c r="G33" s="30">
        <v>0</v>
      </c>
      <c r="H33" s="18">
        <v>0</v>
      </c>
      <c r="I33" s="71">
        <f t="shared" si="5"/>
        <v>0</v>
      </c>
      <c r="J33" s="83"/>
      <c r="K33" s="121">
        <v>0</v>
      </c>
      <c r="L33" s="114">
        <f t="shared" si="6"/>
        <v>0</v>
      </c>
    </row>
    <row r="34" spans="1:21" x14ac:dyDescent="0.25">
      <c r="A34" s="83"/>
      <c r="B34" s="28"/>
      <c r="C34" s="84"/>
      <c r="D34" s="30">
        <v>0</v>
      </c>
      <c r="E34" s="18">
        <v>0</v>
      </c>
      <c r="F34" s="74">
        <f t="shared" si="4"/>
        <v>0</v>
      </c>
      <c r="G34" s="30">
        <v>0</v>
      </c>
      <c r="H34" s="18">
        <v>0</v>
      </c>
      <c r="I34" s="71">
        <f t="shared" si="5"/>
        <v>0</v>
      </c>
      <c r="J34" s="83"/>
      <c r="K34" s="121">
        <v>0</v>
      </c>
      <c r="L34" s="114">
        <f>F34+I34+K34</f>
        <v>0</v>
      </c>
    </row>
    <row r="35" spans="1:21" ht="15.75" thickBot="1" x14ac:dyDescent="0.3">
      <c r="A35" s="167" t="s">
        <v>25</v>
      </c>
      <c r="B35" s="168"/>
      <c r="C35" s="169"/>
      <c r="D35" s="31">
        <f>SUM(D30:D34)</f>
        <v>0</v>
      </c>
      <c r="E35" s="31"/>
      <c r="F35" s="73">
        <f>SUM(F30:F34)</f>
        <v>0</v>
      </c>
      <c r="G35" s="31">
        <f>SUM(G30:G34)</f>
        <v>0</v>
      </c>
      <c r="H35" s="32"/>
      <c r="I35" s="72">
        <f>SUM(I30:I34)</f>
        <v>0</v>
      </c>
      <c r="J35" s="85"/>
      <c r="K35" s="126">
        <f>SUM(K30:K34)</f>
        <v>0</v>
      </c>
      <c r="L35" s="115">
        <f>SUM(L30:L34)</f>
        <v>0</v>
      </c>
    </row>
    <row r="36" spans="1:21" x14ac:dyDescent="0.25">
      <c r="A36" s="10"/>
      <c r="B36" s="10"/>
      <c r="C36" s="10"/>
      <c r="D36" s="10"/>
      <c r="E36" s="10"/>
      <c r="F36" s="10"/>
      <c r="G36" s="10"/>
      <c r="H36" s="10"/>
      <c r="I36" s="10"/>
      <c r="K36" s="127"/>
    </row>
    <row r="38" spans="1:21" s="1" customFormat="1" ht="15.75" x14ac:dyDescent="0.25">
      <c r="A38" s="2" t="s">
        <v>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62"/>
      <c r="N38" s="62"/>
      <c r="O38" s="62"/>
      <c r="P38" s="62"/>
      <c r="Q38" s="62"/>
      <c r="R38" s="62"/>
      <c r="S38" s="62"/>
      <c r="T38" s="62"/>
      <c r="U38" s="62"/>
    </row>
    <row r="39" spans="1:21" s="68" customFormat="1" ht="15.75" thickBot="1" x14ac:dyDescent="0.3">
      <c r="A39" s="102" t="s">
        <v>7</v>
      </c>
      <c r="B39" s="102" t="s">
        <v>29</v>
      </c>
      <c r="C39" s="158" t="s">
        <v>31</v>
      </c>
      <c r="D39" s="159"/>
      <c r="E39" s="159"/>
      <c r="F39" s="64" t="s">
        <v>37</v>
      </c>
      <c r="G39" s="39" t="s">
        <v>36</v>
      </c>
      <c r="H39" s="65" t="s">
        <v>32</v>
      </c>
      <c r="I39" s="102" t="s">
        <v>68</v>
      </c>
      <c r="J39" s="102" t="s">
        <v>64</v>
      </c>
      <c r="K39" s="102" t="s">
        <v>69</v>
      </c>
      <c r="L39" s="102" t="s">
        <v>65</v>
      </c>
      <c r="M39" s="67"/>
      <c r="N39" s="67"/>
      <c r="O39" s="67"/>
      <c r="P39" s="67"/>
      <c r="Q39" s="67"/>
      <c r="R39" s="67"/>
      <c r="S39" s="67"/>
      <c r="T39" s="67"/>
      <c r="U39" s="67"/>
    </row>
    <row r="40" spans="1:21" ht="16.5" thickBot="1" x14ac:dyDescent="0.3">
      <c r="A40" s="88" t="s">
        <v>27</v>
      </c>
      <c r="B40" s="81" t="s">
        <v>30</v>
      </c>
      <c r="C40" s="160"/>
      <c r="D40" s="161"/>
      <c r="E40" s="161"/>
      <c r="F40" s="40" t="s">
        <v>38</v>
      </c>
      <c r="G40" s="43">
        <v>0</v>
      </c>
      <c r="H40" s="37">
        <v>0</v>
      </c>
      <c r="I40" s="71">
        <f>G40*H40</f>
        <v>0</v>
      </c>
      <c r="J40" s="92" t="s">
        <v>71</v>
      </c>
      <c r="K40" s="119">
        <v>0</v>
      </c>
      <c r="L40" s="114">
        <f>I40+K40</f>
        <v>0</v>
      </c>
    </row>
    <row r="41" spans="1:21" ht="16.5" thickBot="1" x14ac:dyDescent="0.3">
      <c r="A41" s="89" t="s">
        <v>28</v>
      </c>
      <c r="B41" s="28"/>
      <c r="C41" s="162"/>
      <c r="D41" s="163"/>
      <c r="E41" s="163"/>
      <c r="F41" s="41"/>
      <c r="G41" s="44">
        <v>0</v>
      </c>
      <c r="H41" s="46">
        <v>0</v>
      </c>
      <c r="I41" s="71">
        <f t="shared" ref="I41:I44" si="7">G41*H41</f>
        <v>0</v>
      </c>
      <c r="J41" s="83"/>
      <c r="K41" s="120">
        <v>0</v>
      </c>
      <c r="L41" s="114">
        <f t="shared" ref="L41:L44" si="8">I41+K41</f>
        <v>0</v>
      </c>
    </row>
    <row r="42" spans="1:21" ht="16.5" thickBot="1" x14ac:dyDescent="0.3">
      <c r="A42" s="89" t="s">
        <v>28</v>
      </c>
      <c r="B42" s="28"/>
      <c r="C42" s="162"/>
      <c r="D42" s="163"/>
      <c r="E42" s="163"/>
      <c r="F42" s="41"/>
      <c r="G42" s="44">
        <v>0</v>
      </c>
      <c r="H42" s="46">
        <v>0</v>
      </c>
      <c r="I42" s="71">
        <f t="shared" si="7"/>
        <v>0</v>
      </c>
      <c r="J42" s="83"/>
      <c r="K42" s="120">
        <v>0</v>
      </c>
      <c r="L42" s="114">
        <f t="shared" si="8"/>
        <v>0</v>
      </c>
    </row>
    <row r="43" spans="1:21" ht="16.5" thickBot="1" x14ac:dyDescent="0.3">
      <c r="A43" s="89" t="s">
        <v>28</v>
      </c>
      <c r="B43" s="28"/>
      <c r="C43" s="162"/>
      <c r="D43" s="163"/>
      <c r="E43" s="163"/>
      <c r="F43" s="41"/>
      <c r="G43" s="44">
        <v>0</v>
      </c>
      <c r="H43" s="46">
        <v>0</v>
      </c>
      <c r="I43" s="71">
        <f t="shared" si="7"/>
        <v>0</v>
      </c>
      <c r="J43" s="83"/>
      <c r="K43" s="120">
        <v>0</v>
      </c>
      <c r="L43" s="114">
        <f t="shared" si="8"/>
        <v>0</v>
      </c>
    </row>
    <row r="44" spans="1:21" ht="16.5" thickBot="1" x14ac:dyDescent="0.3">
      <c r="A44" s="89" t="s">
        <v>28</v>
      </c>
      <c r="B44" s="28"/>
      <c r="C44" s="162"/>
      <c r="D44" s="163"/>
      <c r="E44" s="163"/>
      <c r="F44" s="41"/>
      <c r="G44" s="44">
        <v>0</v>
      </c>
      <c r="H44" s="46">
        <v>0</v>
      </c>
      <c r="I44" s="71">
        <f t="shared" si="7"/>
        <v>0</v>
      </c>
      <c r="J44" s="83"/>
      <c r="K44" s="120">
        <v>0</v>
      </c>
      <c r="L44" s="114">
        <f t="shared" si="8"/>
        <v>0</v>
      </c>
    </row>
    <row r="45" spans="1:21" ht="16.5" thickBot="1" x14ac:dyDescent="0.3">
      <c r="A45" s="140" t="s">
        <v>25</v>
      </c>
      <c r="B45" s="141"/>
      <c r="C45" s="141"/>
      <c r="D45" s="141"/>
      <c r="E45" s="141"/>
      <c r="F45" s="42"/>
      <c r="G45" s="45"/>
      <c r="H45" s="38"/>
      <c r="I45" s="97">
        <f>SUM(I40:I44)</f>
        <v>0</v>
      </c>
      <c r="J45" s="85"/>
      <c r="K45" s="132">
        <f>SUM(K40:K44)</f>
        <v>0</v>
      </c>
      <c r="L45" s="115">
        <f>SUM(L40:L44)</f>
        <v>0</v>
      </c>
    </row>
    <row r="48" spans="1:21" s="1" customFormat="1" ht="15.75" x14ac:dyDescent="0.25">
      <c r="A48" s="2" t="s">
        <v>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62"/>
      <c r="N48" s="62"/>
      <c r="O48" s="62"/>
      <c r="P48" s="62"/>
      <c r="Q48" s="62"/>
      <c r="R48" s="62"/>
      <c r="S48" s="62"/>
      <c r="T48" s="62"/>
      <c r="U48" s="62"/>
    </row>
    <row r="49" spans="1:21" s="68" customFormat="1" ht="15.75" thickBot="1" x14ac:dyDescent="0.3">
      <c r="A49" s="102" t="s">
        <v>39</v>
      </c>
      <c r="B49" s="102" t="s">
        <v>42</v>
      </c>
      <c r="C49" s="102" t="s">
        <v>43</v>
      </c>
      <c r="D49" s="102" t="s">
        <v>44</v>
      </c>
      <c r="E49" s="102" t="s">
        <v>48</v>
      </c>
      <c r="F49" s="102" t="s">
        <v>45</v>
      </c>
      <c r="G49" s="102" t="s">
        <v>46</v>
      </c>
      <c r="H49" s="102" t="s">
        <v>47</v>
      </c>
      <c r="I49" s="102" t="s">
        <v>20</v>
      </c>
      <c r="J49" s="102" t="s">
        <v>66</v>
      </c>
      <c r="K49" s="102" t="s">
        <v>69</v>
      </c>
      <c r="L49" s="102" t="s">
        <v>67</v>
      </c>
      <c r="M49" s="67"/>
      <c r="N49" s="67"/>
      <c r="O49" s="67"/>
      <c r="P49" s="67"/>
      <c r="Q49" s="67"/>
      <c r="R49" s="67"/>
      <c r="S49" s="67"/>
      <c r="T49" s="67"/>
      <c r="U49" s="67"/>
    </row>
    <row r="50" spans="1:21" ht="15.75" thickBot="1" x14ac:dyDescent="0.3">
      <c r="A50" s="80" t="s">
        <v>40</v>
      </c>
      <c r="B50" s="81" t="s">
        <v>49</v>
      </c>
      <c r="C50" s="81" t="s">
        <v>50</v>
      </c>
      <c r="D50" s="90">
        <v>44429</v>
      </c>
      <c r="E50" s="91">
        <v>44432</v>
      </c>
      <c r="F50" s="17">
        <v>0</v>
      </c>
      <c r="G50" s="17">
        <v>0</v>
      </c>
      <c r="H50" s="50">
        <v>0</v>
      </c>
      <c r="I50" s="69">
        <f>F50+G50+H50</f>
        <v>0</v>
      </c>
      <c r="J50" s="99"/>
      <c r="K50" s="98">
        <v>0</v>
      </c>
      <c r="L50" s="116">
        <f>I50+K50</f>
        <v>0</v>
      </c>
    </row>
    <row r="51" spans="1:21" ht="15.75" thickBot="1" x14ac:dyDescent="0.3">
      <c r="A51" s="83" t="s">
        <v>41</v>
      </c>
      <c r="B51" s="28"/>
      <c r="C51" s="28"/>
      <c r="D51" s="28"/>
      <c r="E51" s="84"/>
      <c r="F51" s="18">
        <v>0</v>
      </c>
      <c r="G51" s="18">
        <v>0</v>
      </c>
      <c r="H51" s="51">
        <v>0</v>
      </c>
      <c r="I51" s="69">
        <f t="shared" ref="I51:I55" si="9">F51+G51+H51</f>
        <v>0</v>
      </c>
      <c r="J51" s="83"/>
      <c r="K51" s="93">
        <v>0</v>
      </c>
      <c r="L51" s="116">
        <f t="shared" ref="L51:L55" si="10">I51+K51</f>
        <v>0</v>
      </c>
    </row>
    <row r="52" spans="1:21" ht="15.75" thickBot="1" x14ac:dyDescent="0.3">
      <c r="A52" s="83" t="s">
        <v>40</v>
      </c>
      <c r="B52" s="28"/>
      <c r="C52" s="28"/>
      <c r="D52" s="28"/>
      <c r="E52" s="84"/>
      <c r="F52" s="18">
        <v>0</v>
      </c>
      <c r="G52" s="18">
        <v>0</v>
      </c>
      <c r="H52" s="51">
        <v>0</v>
      </c>
      <c r="I52" s="69">
        <f t="shared" si="9"/>
        <v>0</v>
      </c>
      <c r="J52" s="83"/>
      <c r="K52" s="93">
        <v>0</v>
      </c>
      <c r="L52" s="116">
        <f t="shared" si="10"/>
        <v>0</v>
      </c>
    </row>
    <row r="53" spans="1:21" ht="15.75" thickBot="1" x14ac:dyDescent="0.3">
      <c r="A53" s="83" t="s">
        <v>40</v>
      </c>
      <c r="B53" s="28"/>
      <c r="C53" s="28"/>
      <c r="D53" s="28"/>
      <c r="E53" s="84"/>
      <c r="F53" s="18">
        <v>0</v>
      </c>
      <c r="G53" s="18">
        <v>0</v>
      </c>
      <c r="H53" s="51">
        <v>0</v>
      </c>
      <c r="I53" s="69">
        <f t="shared" si="9"/>
        <v>0</v>
      </c>
      <c r="J53" s="83"/>
      <c r="K53" s="93">
        <v>0</v>
      </c>
      <c r="L53" s="116">
        <f t="shared" si="10"/>
        <v>0</v>
      </c>
    </row>
    <row r="54" spans="1:21" ht="15.75" thickBot="1" x14ac:dyDescent="0.3">
      <c r="A54" s="83" t="s">
        <v>40</v>
      </c>
      <c r="B54" s="28"/>
      <c r="C54" s="28"/>
      <c r="D54" s="28"/>
      <c r="E54" s="84"/>
      <c r="F54" s="18">
        <v>0</v>
      </c>
      <c r="G54" s="18">
        <v>0</v>
      </c>
      <c r="H54" s="51">
        <v>0</v>
      </c>
      <c r="I54" s="69">
        <f t="shared" si="9"/>
        <v>0</v>
      </c>
      <c r="J54" s="83"/>
      <c r="K54" s="93">
        <v>0</v>
      </c>
      <c r="L54" s="116">
        <f t="shared" si="10"/>
        <v>0</v>
      </c>
    </row>
    <row r="55" spans="1:21" ht="15.75" thickBot="1" x14ac:dyDescent="0.3">
      <c r="A55" s="85"/>
      <c r="B55" s="86"/>
      <c r="C55" s="86"/>
      <c r="D55" s="86"/>
      <c r="E55" s="87"/>
      <c r="F55" s="19">
        <v>0</v>
      </c>
      <c r="G55" s="19">
        <v>0</v>
      </c>
      <c r="H55" s="52">
        <v>0</v>
      </c>
      <c r="I55" s="69">
        <f t="shared" si="9"/>
        <v>0</v>
      </c>
      <c r="J55" s="85"/>
      <c r="K55" s="100">
        <v>0</v>
      </c>
      <c r="L55" s="116">
        <f t="shared" si="10"/>
        <v>0</v>
      </c>
    </row>
    <row r="56" spans="1:21" x14ac:dyDescent="0.25">
      <c r="A56" s="49"/>
      <c r="B56" s="49"/>
      <c r="C56" s="49"/>
      <c r="D56" s="49"/>
      <c r="E56" s="49"/>
      <c r="F56" s="48"/>
      <c r="G56" s="49"/>
      <c r="H56" s="53"/>
      <c r="I56" s="70"/>
      <c r="J56" s="49"/>
      <c r="K56" s="48"/>
      <c r="L56" s="117"/>
    </row>
    <row r="57" spans="1:21" s="1" customFormat="1" x14ac:dyDescent="0.25">
      <c r="A57" s="146" t="s">
        <v>19</v>
      </c>
      <c r="B57" s="147"/>
      <c r="C57" s="147"/>
      <c r="D57" s="147"/>
      <c r="E57" s="148"/>
      <c r="F57" s="47">
        <f>SUM(F50:F56)</f>
        <v>0</v>
      </c>
      <c r="G57" s="47">
        <f>SUM(G50:G56)</f>
        <v>0</v>
      </c>
      <c r="H57" s="47">
        <f>SUM(H50:H56)</f>
        <v>0</v>
      </c>
      <c r="I57" s="47">
        <f>SUM(I50:I56)</f>
        <v>0</v>
      </c>
      <c r="J57" s="47"/>
      <c r="K57" s="133">
        <f>SUM(K50:K56)</f>
        <v>0</v>
      </c>
      <c r="L57" s="118">
        <f>SUM(L50:L56)</f>
        <v>0</v>
      </c>
    </row>
    <row r="58" spans="1:21" x14ac:dyDescent="0.25">
      <c r="A58" s="1"/>
      <c r="B58" s="1"/>
      <c r="C58" s="1"/>
      <c r="D58" s="1"/>
      <c r="E58" s="1"/>
    </row>
    <row r="60" spans="1:21" x14ac:dyDescent="0.25">
      <c r="A60" s="125" t="s">
        <v>82</v>
      </c>
    </row>
  </sheetData>
  <mergeCells count="20">
    <mergeCell ref="A35:C35"/>
    <mergeCell ref="A1:C1"/>
    <mergeCell ref="B2:C2"/>
    <mergeCell ref="B3:C3"/>
    <mergeCell ref="B4:C4"/>
    <mergeCell ref="B5:C5"/>
    <mergeCell ref="B6:C6"/>
    <mergeCell ref="B7:C7"/>
    <mergeCell ref="B8:C8"/>
    <mergeCell ref="A11:L11"/>
    <mergeCell ref="A12:L12"/>
    <mergeCell ref="A26:C26"/>
    <mergeCell ref="A45:E45"/>
    <mergeCell ref="A57:E57"/>
    <mergeCell ref="C39:E39"/>
    <mergeCell ref="C40:E40"/>
    <mergeCell ref="C41:E41"/>
    <mergeCell ref="C42:E42"/>
    <mergeCell ref="C43:E43"/>
    <mergeCell ref="C44:E4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 Contract Base Period</vt:lpstr>
      <vt:lpstr>Option 1</vt:lpstr>
      <vt:lpstr>Option 2</vt:lpstr>
      <vt:lpstr>Option 3</vt:lpstr>
      <vt:lpstr>Option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</dc:creator>
  <cp:lastModifiedBy>Michelle Brown</cp:lastModifiedBy>
  <dcterms:created xsi:type="dcterms:W3CDTF">2021-08-01T03:11:20Z</dcterms:created>
  <dcterms:modified xsi:type="dcterms:W3CDTF">2021-10-30T19:01:50Z</dcterms:modified>
</cp:coreProperties>
</file>